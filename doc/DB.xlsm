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8235" firstSheet="2" activeTab="6"/>
  </bookViews>
  <sheets>
    <sheet name="~Index~" sheetId="1" r:id="rId1"/>
    <sheet name="~History~" sheetId="2" r:id="rId2"/>
    <sheet name="~Rules~" sheetId="3" r:id="rId3"/>
    <sheet name="sys_user" sheetId="4" r:id="rId4"/>
    <sheet name="sys_role" sheetId="5" r:id="rId5"/>
    <sheet name="sys_user_role" sheetId="6" r:id="rId6"/>
    <sheet name="sys_resource" sheetId="7" r:id="rId7"/>
    <sheet name="sys_role_resource" sheetId="8" r:id="rId8"/>
  </sheets>
  <calcPr calcId="144525"/>
</workbook>
</file>

<file path=xl/sharedStrings.xml><?xml version="1.0" encoding="utf-8"?>
<sst xmlns="http://schemas.openxmlformats.org/spreadsheetml/2006/main" count="106">
  <si>
    <t>Database Modeling Excel</t>
  </si>
  <si>
    <t>No</t>
  </si>
  <si>
    <t>Table</t>
  </si>
  <si>
    <t>Page</t>
  </si>
  <si>
    <t>...</t>
  </si>
  <si>
    <t>Comment</t>
  </si>
  <si>
    <t>&gt;&gt;</t>
  </si>
  <si>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</si>
  <si>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</si>
  <si>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</si>
  <si>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</si>
  <si>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</si>
  <si>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</si>
  <si>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</si>
  <si>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</si>
  <si>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</si>
  <si>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</si>
  <si>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</si>
  <si>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</si>
  <si>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</si>
  <si>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</si>
  <si>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</si>
  <si>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</si>
  <si>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</si>
  <si>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</si>
  <si>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</si>
  <si>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</si>
  <si>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</si>
  <si>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</si>
  <si>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</si>
  <si>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</si>
  <si>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</si>
  <si>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</si>
  <si>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</si>
  <si>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</si>
  <si>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</si>
  <si>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Data type and other column options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</si>
  <si>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</si>
  <si>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</si>
  <si>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</si>
  <si>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</si>
  <si>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</si>
  <si>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</si>
  <si>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</si>
  <si>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</si>
  <si>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</si>
  <si>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</si>
  <si>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</si>
  <si>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sys_user</t>
  </si>
  <si>
    <t>&lt;&lt;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</si>
  <si>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</t>
    </r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</t>
    </r>
    <r>
      <rPr>
        <sz val="11"/>
        <color theme="1"/>
        <rFont val="等线"/>
        <charset val="134"/>
        <scheme val="minor"/>
      </rPr>
      <t>表</t>
    </r>
  </si>
  <si>
    <t>Status</t>
  </si>
  <si>
    <t>id</t>
  </si>
  <si>
    <t>N</t>
  </si>
  <si>
    <t>Column Name</t>
  </si>
  <si>
    <t>Type</t>
  </si>
  <si>
    <t>Null</t>
  </si>
  <si>
    <t>Column Label</t>
  </si>
  <si>
    <t>bigint</t>
  </si>
  <si>
    <r>
      <rPr>
        <sz val="11"/>
        <color theme="1"/>
        <rFont val="等线"/>
        <charset val="134"/>
        <scheme val="minor"/>
      </rPr>
      <t>主</t>
    </r>
    <r>
      <rPr>
        <sz val="11"/>
        <color theme="1"/>
        <rFont val="等线"/>
        <charset val="134"/>
        <scheme val="minor"/>
      </rPr>
      <t>键</t>
    </r>
  </si>
  <si>
    <t>created_by</t>
  </si>
  <si>
    <t>Yes</t>
  </si>
  <si>
    <t>创建者</t>
  </si>
  <si>
    <t>created_date_time</t>
  </si>
  <si>
    <t>timestamp</t>
  </si>
  <si>
    <t>创建时间</t>
  </si>
  <si>
    <t>last_modified_by</t>
  </si>
  <si>
    <t>修改者</t>
  </si>
  <si>
    <t>last_modified_date_time</t>
  </si>
  <si>
    <r>
      <rPr>
        <sz val="11"/>
        <color theme="1"/>
        <rFont val="等线"/>
        <charset val="134"/>
        <scheme val="minor"/>
      </rPr>
      <t>修改</t>
    </r>
    <r>
      <rPr>
        <sz val="11"/>
        <color theme="1"/>
        <rFont val="等线"/>
        <charset val="134"/>
        <scheme val="minor"/>
      </rPr>
      <t>时间</t>
    </r>
  </si>
  <si>
    <t>deleted</t>
  </si>
  <si>
    <t>boolean</t>
  </si>
  <si>
    <t>已删除</t>
  </si>
  <si>
    <t>username</t>
  </si>
  <si>
    <t>varchar(50)</t>
  </si>
  <si>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户名</t>
    </r>
  </si>
  <si>
    <t>password</t>
  </si>
  <si>
    <t>varchar(100)</t>
  </si>
  <si>
    <r>
      <rPr>
        <sz val="11"/>
        <color theme="1"/>
        <rFont val="等线"/>
        <charset val="134"/>
        <scheme val="minor"/>
      </rPr>
      <t>密</t>
    </r>
    <r>
      <rPr>
        <sz val="11"/>
        <color theme="1"/>
        <rFont val="等线"/>
        <charset val="134"/>
        <scheme val="minor"/>
      </rPr>
      <t>码</t>
    </r>
  </si>
  <si>
    <t>secret</t>
  </si>
  <si>
    <t>签名密钥</t>
  </si>
  <si>
    <t>sys_role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</si>
  <si>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统角色表</t>
    </r>
  </si>
  <si>
    <t>role_name</t>
  </si>
  <si>
    <r>
      <rPr>
        <sz val="11"/>
        <color theme="1"/>
        <rFont val="等线"/>
        <charset val="134"/>
        <scheme val="minor"/>
      </rPr>
      <t>角色</t>
    </r>
    <r>
      <rPr>
        <sz val="11"/>
        <color theme="1"/>
        <rFont val="等线"/>
        <charset val="134"/>
        <scheme val="minor"/>
      </rPr>
      <t>名</t>
    </r>
  </si>
  <si>
    <t>role_description</t>
  </si>
  <si>
    <t>varchar(200)</t>
  </si>
  <si>
    <t>角色描述</t>
  </si>
  <si>
    <t>sys_user_role</t>
  </si>
  <si>
    <r>
      <rPr>
        <sz val="11"/>
        <color theme="1"/>
        <rFont val="等线"/>
        <charset val="134"/>
        <scheme val="minor"/>
      </rPr>
      <t>系</t>
    </r>
    <r>
      <rPr>
        <sz val="11"/>
        <color theme="1"/>
        <rFont val="等线"/>
        <charset val="134"/>
        <scheme val="minor"/>
      </rPr>
      <t>统用户角色表</t>
    </r>
  </si>
  <si>
    <t>user_id</t>
  </si>
  <si>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户ID</t>
    </r>
  </si>
  <si>
    <t>role_id</t>
  </si>
  <si>
    <t>角色ID</t>
  </si>
  <si>
    <t>sys_resource</t>
  </si>
  <si>
    <t>系统资源表</t>
  </si>
  <si>
    <t>application_name</t>
  </si>
  <si>
    <t>应用名</t>
  </si>
  <si>
    <t>service_name</t>
  </si>
  <si>
    <t>服务名</t>
  </si>
  <si>
    <t>method_name</t>
  </si>
  <si>
    <t>方法名</t>
  </si>
  <si>
    <t>sys_role_resource</t>
  </si>
  <si>
    <t>系统角色资源表</t>
  </si>
  <si>
    <t>resource_id</t>
  </si>
  <si>
    <t>资源ID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</si>
</sst>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28"/>
      <scheme val="minor"/>
    </font>
    <font>
      <b/>
      <sz val="20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5" fillId="5" borderId="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5" borderId="12" applyNumberFormat="0" applyFont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7" fillId="0" borderId="15" applyNumberFormat="0" applyFill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18" fillId="8" borderId="13" applyNumberFormat="0" applyAlignment="0" applyProtection="0">
      <alignment vertical="center"/>
    </xf>
    <xf numFmtId="0" fontId="10" fillId="8" borderId="8" applyNumberFormat="0" applyAlignment="0" applyProtection="0">
      <alignment vertical="center"/>
    </xf>
    <xf numFmtId="0" fontId="6" fillId="6" borderId="9" applyNumberFormat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20" fillId="0" borderId="14" applyNumberFormat="0" applyFill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1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</cellStyleXfs>
  <cellXfs count="24">
    <xf numFmtId="0" fontId="0" fillId="0" borderId="0" xfId="0"/>
    <xf numFmtId="0" fontId="0" fillId="0" borderId="0" xfId="0" applyAlignment="1">
      <alignment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vertical="top"/>
    </xf>
    <xf numFmtId="0" fontId="1" fillId="2" borderId="1" xfId="0" applyFont="1" applyFill="1" applyBorder="1" applyAlignment="1">
      <alignment horizontal="center" vertical="top"/>
    </xf>
    <xf numFmtId="0" fontId="0" fillId="3" borderId="1" xfId="0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1" fillId="2" borderId="1" xfId="0" applyFont="1" applyFill="1" applyBorder="1"/>
    <xf numFmtId="0" fontId="0" fillId="0" borderId="4" xfId="0" applyBorder="1" applyAlignment="1">
      <alignment horizontal="left"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7" xfId="0" applyBorder="1" applyAlignment="1">
      <alignment vertical="top" wrapText="1"/>
    </xf>
    <xf numFmtId="0" fontId="3" fillId="0" borderId="0" xfId="0" applyFont="1" applyAlignment="1">
      <alignment horizontal="center" vertical="top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20"/>
  <sheetViews>
    <sheetView workbookViewId="0">
      <selection activeCell="A1" sqref="A1"/>
    </sheetView>
  </sheetViews>
  <sheetFormatPr defaultColWidth="9.12389380530973" defaultRowHeight="13.85" outlineLevelCol="5"/>
  <cols>
    <col min="1" max="2" width="4.75221238938053" style="1" customWidth="1"/>
    <col min="3" max="3" width="100.752212389381" style="1" customWidth="1"/>
    <col min="4" max="5" width="4.75221238938053" style="1" customWidth="1"/>
    <col min="6" max="16384" width="9.12389380530973" style="1"/>
  </cols>
  <sheetData>
    <row r="1" ht="30" customHeight="1" spans="3:3">
      <c r="C1" s="23" t="s">
        <v>0</v>
      </c>
    </row>
    <row r="3" spans="1:6">
      <c r="A3" s="17" t="s">
        <v>1</v>
      </c>
      <c r="B3" s="17"/>
      <c r="C3" s="17" t="s">
        <v>2</v>
      </c>
      <c r="D3" s="17" t="s">
        <v>3</v>
      </c>
      <c r="E3" s="17" t="s">
        <v>4</v>
      </c>
      <c r="F3" s="17" t="s">
        <v>5</v>
      </c>
    </row>
    <row r="4" spans="1:4">
      <c r="A4" s="1">
        <v>1</v>
      </c>
      <c r="B4" t="s">
        <v>6</v>
      </c>
      <c r="C4" s="1" t="str">
        <f>GetTableName(A4+1)</f>
        <v>~History~</v>
      </c>
      <c r="D4" s="1">
        <v>4</v>
      </c>
    </row>
    <row r="5" spans="1:4">
      <c r="A5" s="1">
        <f t="shared" ref="A5:A20" si="0">A4+1</f>
        <v>2</v>
      </c>
      <c r="B5" t="s">
        <v>6</v>
      </c>
      <c r="C5" s="1" t="str">
        <f>GetTableName(A5+1)</f>
        <v>~Rules~</v>
      </c>
      <c r="D5" s="1">
        <f t="shared" ref="D5:D20" si="1">IF(C5="","",D4+IF(INT(E4)=0,1,E4))</f>
        <v>5</v>
      </c>
    </row>
    <row r="6" spans="1:6">
      <c r="A6" s="1">
        <f t="shared" si="0"/>
        <v>3</v>
      </c>
      <c r="B6" t="s">
        <v>6</v>
      </c>
      <c r="C6" s="1" t="str">
        <f>GetTableName(A6+1)</f>
        <v>sys_user</v>
      </c>
      <c r="D6" s="1">
        <f t="shared" si="1"/>
        <v>6</v>
      </c>
      <c r="F6" s="1" t="str">
        <f ca="1">INDIRECT(C6&amp;"!B2")</f>
        <v>系统用户表</v>
      </c>
    </row>
    <row r="7" spans="1:6">
      <c r="A7" s="1">
        <f t="shared" si="0"/>
        <v>4</v>
      </c>
      <c r="B7" t="s">
        <v>6</v>
      </c>
      <c r="C7" s="1" t="str">
        <f>GetTableName(A7+1)</f>
        <v>sys_role</v>
      </c>
      <c r="D7" s="1">
        <f t="shared" si="1"/>
        <v>7</v>
      </c>
      <c r="F7" s="1" t="str">
        <f ca="1" t="shared" ref="F7:F10" si="2">INDIRECT(C7&amp;"!B2")</f>
        <v>系统角色表</v>
      </c>
    </row>
    <row r="8" spans="1:6">
      <c r="A8" s="1">
        <f t="shared" si="0"/>
        <v>5</v>
      </c>
      <c r="B8" t="s">
        <v>6</v>
      </c>
      <c r="C8" s="1" t="str">
        <f>GetTableName(A8+1)</f>
        <v>sys_user_role</v>
      </c>
      <c r="D8" s="1">
        <f t="shared" si="1"/>
        <v>8</v>
      </c>
      <c r="F8" s="1" t="str">
        <f ca="1" t="shared" si="2"/>
        <v>系统用户角色表</v>
      </c>
    </row>
    <row r="9" spans="1:6">
      <c r="A9" s="1">
        <f t="shared" si="0"/>
        <v>6</v>
      </c>
      <c r="B9" t="s">
        <v>6</v>
      </c>
      <c r="C9" s="1" t="str">
        <f>GetTableName(A9+1)</f>
        <v>sys_resource</v>
      </c>
      <c r="D9" s="1">
        <f t="shared" si="1"/>
        <v>9</v>
      </c>
      <c r="F9" s="1" t="str">
        <f ca="1" t="shared" si="2"/>
        <v>系统资源表</v>
      </c>
    </row>
    <row r="10" spans="1:6">
      <c r="A10" s="1">
        <f t="shared" si="0"/>
        <v>7</v>
      </c>
      <c r="B10" t="s">
        <v>6</v>
      </c>
      <c r="C10" s="1" t="str">
        <f>GetTableName(A10+1)</f>
        <v>sys_role_resource</v>
      </c>
      <c r="D10" s="1">
        <f t="shared" si="1"/>
        <v>10</v>
      </c>
      <c r="F10" s="1" t="str">
        <f ca="1" t="shared" si="2"/>
        <v>系统角色资源表</v>
      </c>
    </row>
    <row r="11" spans="1:4">
      <c r="A11" s="1">
        <f t="shared" si="0"/>
        <v>8</v>
      </c>
      <c r="B11" t="s">
        <v>6</v>
      </c>
      <c r="C11" s="1" t="str">
        <f>GetTableName(A11+1)</f>
        <v/>
      </c>
      <c r="D11" s="1" t="str">
        <f t="shared" si="1"/>
        <v/>
      </c>
    </row>
    <row r="12" spans="1:4">
      <c r="A12" s="1">
        <f t="shared" si="0"/>
        <v>9</v>
      </c>
      <c r="B12" t="s">
        <v>6</v>
      </c>
      <c r="C12" s="1" t="str">
        <f>GetTableName(A12+1)</f>
        <v/>
      </c>
      <c r="D12" s="1" t="str">
        <f t="shared" si="1"/>
        <v/>
      </c>
    </row>
    <row r="13" spans="1:4">
      <c r="A13" s="1">
        <f t="shared" si="0"/>
        <v>10</v>
      </c>
      <c r="B13" t="s">
        <v>6</v>
      </c>
      <c r="C13" s="1" t="str">
        <f>GetTableName(A13+1)</f>
        <v/>
      </c>
      <c r="D13" s="1" t="str">
        <f t="shared" si="1"/>
        <v/>
      </c>
    </row>
    <row r="14" spans="1:4">
      <c r="A14" s="1">
        <f t="shared" si="0"/>
        <v>11</v>
      </c>
      <c r="B14" t="s">
        <v>6</v>
      </c>
      <c r="C14" s="1" t="str">
        <f>GetTableName(A14+1)</f>
        <v/>
      </c>
      <c r="D14" s="1" t="str">
        <f t="shared" si="1"/>
        <v/>
      </c>
    </row>
    <row r="15" spans="1:4">
      <c r="A15" s="1">
        <f t="shared" si="0"/>
        <v>12</v>
      </c>
      <c r="B15" t="s">
        <v>6</v>
      </c>
      <c r="C15" s="1" t="str">
        <f>GetTableName(A15+1)</f>
        <v/>
      </c>
      <c r="D15" s="1" t="str">
        <f t="shared" si="1"/>
        <v/>
      </c>
    </row>
    <row r="16" spans="1:4">
      <c r="A16" s="1">
        <f t="shared" si="0"/>
        <v>13</v>
      </c>
      <c r="B16" t="s">
        <v>6</v>
      </c>
      <c r="C16" s="1" t="str">
        <f>GetTableName(A16+1)</f>
        <v/>
      </c>
      <c r="D16" s="1" t="str">
        <f t="shared" si="1"/>
        <v/>
      </c>
    </row>
    <row r="17" spans="1:4">
      <c r="A17" s="1">
        <f t="shared" si="0"/>
        <v>14</v>
      </c>
      <c r="B17" t="s">
        <v>6</v>
      </c>
      <c r="C17" s="1" t="str">
        <f>GetTableName(A17+1)</f>
        <v/>
      </c>
      <c r="D17" s="1" t="str">
        <f t="shared" si="1"/>
        <v/>
      </c>
    </row>
    <row r="18" spans="1:4">
      <c r="A18" s="1">
        <f t="shared" si="0"/>
        <v>15</v>
      </c>
      <c r="B18" t="s">
        <v>6</v>
      </c>
      <c r="C18" s="1" t="str">
        <f>GetTableName(A18+1)</f>
        <v/>
      </c>
      <c r="D18" s="1" t="str">
        <f t="shared" si="1"/>
        <v/>
      </c>
    </row>
    <row r="19" spans="1:4">
      <c r="A19" s="1">
        <f t="shared" si="0"/>
        <v>16</v>
      </c>
      <c r="B19" t="s">
        <v>6</v>
      </c>
      <c r="C19" s="1" t="str">
        <f>GetTableName(A19+1)</f>
        <v/>
      </c>
      <c r="D19" s="1" t="str">
        <f t="shared" si="1"/>
        <v/>
      </c>
    </row>
    <row r="20" spans="1:4">
      <c r="A20" s="1">
        <f t="shared" si="0"/>
        <v>17</v>
      </c>
      <c r="B20" t="s">
        <v>6</v>
      </c>
      <c r="C20" s="1" t="str">
        <f>GetTableName(A20+1)</f>
        <v/>
      </c>
      <c r="D20" s="1" t="str">
        <f t="shared" si="1"/>
        <v/>
      </c>
    </row>
  </sheetData>
  <hyperlinks>
    <hyperlink ref="B4" location="'~History~'!A1" display="&gt;&gt;"/>
    <hyperlink ref="B5" location="'~Rules~'!A1" display="&gt;&gt;"/>
    <hyperlink ref="B6" location="'categories'!A1" display="&gt;&gt;"/>
    <hyperlink ref="B7" location="'customerdemo'!A1" display="&gt;&gt;"/>
    <hyperlink ref="B8" location="'customerdemographics'!A1" display="&gt;&gt;"/>
    <hyperlink ref="B9" location="'customers'!A1" display="&gt;&gt;"/>
    <hyperlink ref="B10" location="'employees'!A1" display="&gt;&gt;"/>
    <hyperlink ref="B11" location="'employeeterritories'!A1" display="&gt;&gt;"/>
    <hyperlink ref="B12" location="'orderdetails'!A1" display="&gt;&gt;"/>
    <hyperlink ref="B13" location="'orders'!A1" display="&gt;&gt;"/>
    <hyperlink ref="B14" location="'products'!A1" display="&gt;&gt;"/>
    <hyperlink ref="B15" location="'region'!A1" display="&gt;&gt;"/>
    <hyperlink ref="B16" location="'shippers'!A1" display="&gt;&gt;"/>
    <hyperlink ref="B17" location="'suppliers'!A1" display="&gt;&gt;"/>
    <hyperlink ref="B18" location="'territories'!A1" display="&gt;&gt;"/>
    <hyperlink ref="B19" location="'sampletable1'!A1" display="&gt;&gt;"/>
    <hyperlink ref="B20" location="'sampletable2'!A1" display="&gt;&g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1"/>
  <sheetViews>
    <sheetView workbookViewId="0">
      <selection activeCell="A1" sqref="A1"/>
    </sheetView>
  </sheetViews>
  <sheetFormatPr defaultColWidth="9.12389380530973" defaultRowHeight="13.85" outlineLevelCol="4"/>
  <cols>
    <col min="1" max="1" width="4.75221238938053" style="1" customWidth="1"/>
    <col min="2" max="3" width="12.7522123893805" style="1" customWidth="1"/>
    <col min="4" max="4" width="24.7522123893805" style="1" customWidth="1"/>
    <col min="5" max="5" width="64.7522123893805" style="1" customWidth="1"/>
    <col min="6" max="16384" width="9.12389380530973" style="1"/>
  </cols>
  <sheetData>
    <row r="1" spans="1:5">
      <c r="A1" s="5" t="s">
        <v>7</v>
      </c>
      <c r="B1" s="5" t="s">
        <v>8</v>
      </c>
      <c r="C1" s="5" t="s">
        <v>9</v>
      </c>
      <c r="D1" s="5" t="s">
        <v>10</v>
      </c>
      <c r="E1" s="5"/>
    </row>
    <row r="2" spans="1:5">
      <c r="A2" s="4"/>
      <c r="B2" s="4"/>
      <c r="C2" s="4"/>
      <c r="D2" s="4"/>
      <c r="E2" s="4"/>
    </row>
    <row r="3" spans="1:5">
      <c r="A3" s="4"/>
      <c r="B3" s="4"/>
      <c r="C3" s="4"/>
      <c r="D3" s="4"/>
      <c r="E3" s="4"/>
    </row>
    <row r="4" spans="1:5">
      <c r="A4" s="4"/>
      <c r="B4" s="4"/>
      <c r="C4" s="4"/>
      <c r="D4" s="4"/>
      <c r="E4" s="4"/>
    </row>
    <row r="5" spans="1:5">
      <c r="A5" s="4"/>
      <c r="B5" s="4"/>
      <c r="C5" s="4"/>
      <c r="D5" s="4"/>
      <c r="E5" s="4"/>
    </row>
    <row r="6" spans="1:5">
      <c r="A6" s="4"/>
      <c r="B6" s="4"/>
      <c r="C6" s="4"/>
      <c r="D6" s="4"/>
      <c r="E6" s="4"/>
    </row>
    <row r="7" spans="1:5">
      <c r="A7" s="4"/>
      <c r="B7" s="4"/>
      <c r="C7" s="4"/>
      <c r="D7" s="4"/>
      <c r="E7" s="4"/>
    </row>
    <row r="8" spans="1:5">
      <c r="A8" s="4"/>
      <c r="B8" s="4"/>
      <c r="C8" s="4"/>
      <c r="D8" s="4"/>
      <c r="E8" s="4"/>
    </row>
    <row r="9" spans="1:5">
      <c r="A9" s="4"/>
      <c r="B9" s="4"/>
      <c r="C9" s="4"/>
      <c r="D9" s="4"/>
      <c r="E9" s="4"/>
    </row>
    <row r="10" spans="1:5">
      <c r="A10" s="4"/>
      <c r="B10" s="4"/>
      <c r="C10" s="4"/>
      <c r="D10" s="4"/>
      <c r="E10" s="4"/>
    </row>
    <row r="11" spans="1:5">
      <c r="A11" s="4"/>
      <c r="B11" s="4"/>
      <c r="C11" s="4"/>
      <c r="D11" s="4"/>
      <c r="E11" s="4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3"/>
  <sheetViews>
    <sheetView workbookViewId="0">
      <selection activeCell="A1" sqref="A1"/>
    </sheetView>
  </sheetViews>
  <sheetFormatPr defaultColWidth="9.12389380530973" defaultRowHeight="13.85" outlineLevelCol="4"/>
  <cols>
    <col min="1" max="1" width="2.75221238938053" style="1" customWidth="1"/>
    <col min="2" max="2" width="12.7522123893805" style="1" customWidth="1"/>
    <col min="3" max="3" width="32.7522123893805" style="1" customWidth="1"/>
    <col min="4" max="4" width="48.7522123893805" style="1" customWidth="1"/>
    <col min="5" max="5" width="2.75221238938053" style="1" customWidth="1"/>
    <col min="6" max="16384" width="9.12389380530973" style="1"/>
  </cols>
  <sheetData>
    <row r="1" spans="1:1">
      <c r="A1" s="16" t="s">
        <v>11</v>
      </c>
    </row>
    <row r="2" spans="1:4">
      <c r="A2" s="17" t="s">
        <v>12</v>
      </c>
      <c r="B2" s="16" t="s">
        <v>13</v>
      </c>
      <c r="C2" s="1" t="s">
        <v>14</v>
      </c>
      <c r="D2" s="18" t="s">
        <v>15</v>
      </c>
    </row>
    <row r="3" ht="27.75" spans="1:4">
      <c r="A3" s="17" t="s">
        <v>12</v>
      </c>
      <c r="B3" s="16" t="s">
        <v>16</v>
      </c>
      <c r="C3" s="1" t="s">
        <v>14</v>
      </c>
      <c r="D3" s="19" t="s">
        <v>17</v>
      </c>
    </row>
    <row r="4" ht="27.75" spans="1:4">
      <c r="A4" s="17" t="s">
        <v>12</v>
      </c>
      <c r="B4" s="16" t="s">
        <v>18</v>
      </c>
      <c r="C4" s="1" t="s">
        <v>14</v>
      </c>
      <c r="D4" s="20" t="s">
        <v>19</v>
      </c>
    </row>
    <row r="5" spans="1:3">
      <c r="A5" s="17" t="s">
        <v>12</v>
      </c>
      <c r="B5" s="16" t="s">
        <v>20</v>
      </c>
      <c r="C5" s="1" t="s">
        <v>21</v>
      </c>
    </row>
    <row r="6" spans="1:3">
      <c r="A6" s="21"/>
      <c r="C6" s="1" t="s">
        <v>22</v>
      </c>
    </row>
    <row r="7" spans="1:3">
      <c r="A7" s="21"/>
      <c r="C7" s="1" t="s">
        <v>23</v>
      </c>
    </row>
    <row r="8" spans="1:5">
      <c r="A8" s="21"/>
      <c r="C8" s="1" t="s">
        <v>24</v>
      </c>
      <c r="E8" s="18" t="s">
        <v>25</v>
      </c>
    </row>
    <row r="9" ht="27.75" spans="1:5">
      <c r="A9" s="21"/>
      <c r="D9" s="22" t="s">
        <v>26</v>
      </c>
      <c r="E9" s="20" t="s">
        <v>27</v>
      </c>
    </row>
    <row r="10" spans="1:3">
      <c r="A10" s="17" t="s">
        <v>12</v>
      </c>
      <c r="B10" s="16" t="s">
        <v>28</v>
      </c>
      <c r="C10" s="1" t="s">
        <v>29</v>
      </c>
    </row>
    <row r="11" spans="1:3">
      <c r="A11" s="21"/>
      <c r="C11" s="1" t="s">
        <v>30</v>
      </c>
    </row>
    <row r="12" spans="1:3">
      <c r="A12" s="21"/>
      <c r="C12" s="1" t="s">
        <v>31</v>
      </c>
    </row>
    <row r="13" spans="1:5">
      <c r="A13" s="21"/>
      <c r="C13" s="1" t="s">
        <v>24</v>
      </c>
      <c r="E13" s="18" t="s">
        <v>32</v>
      </c>
    </row>
    <row r="14" ht="27.75" spans="1:5">
      <c r="A14" s="21"/>
      <c r="D14" s="22" t="s">
        <v>33</v>
      </c>
      <c r="E14" s="20" t="s">
        <v>34</v>
      </c>
    </row>
    <row r="15" spans="1:3">
      <c r="A15" s="17" t="s">
        <v>12</v>
      </c>
      <c r="B15" s="16" t="s">
        <v>35</v>
      </c>
      <c r="C15" s="1" t="s">
        <v>36</v>
      </c>
    </row>
    <row r="16" spans="1:4">
      <c r="A16" s="17" t="s">
        <v>12</v>
      </c>
      <c r="B16" s="16" t="s">
        <v>37</v>
      </c>
      <c r="C16" s="1" t="s">
        <v>38</v>
      </c>
      <c r="D16" s="1" t="s">
        <v>39</v>
      </c>
    </row>
    <row r="17" spans="1:3">
      <c r="A17" s="17" t="s">
        <v>12</v>
      </c>
      <c r="B17" s="16" t="s">
        <v>40</v>
      </c>
      <c r="C17" s="1" t="s">
        <v>41</v>
      </c>
    </row>
    <row r="18" spans="1:3">
      <c r="A18" s="21"/>
      <c r="C18" s="1" t="s">
        <v>42</v>
      </c>
    </row>
    <row r="19" spans="1:3">
      <c r="A19" s="17" t="s">
        <v>12</v>
      </c>
      <c r="B19" s="16" t="s">
        <v>43</v>
      </c>
      <c r="C19" s="1" t="s">
        <v>44</v>
      </c>
    </row>
    <row r="20" spans="1:3">
      <c r="A20" s="17" t="s">
        <v>12</v>
      </c>
      <c r="B20" s="16" t="s">
        <v>45</v>
      </c>
      <c r="C20" s="1" t="s">
        <v>46</v>
      </c>
    </row>
    <row r="21" spans="1:1">
      <c r="A21" s="21"/>
    </row>
    <row r="22" spans="1:1">
      <c r="A22" s="21"/>
    </row>
    <row r="23" spans="1:1">
      <c r="A23" s="21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A1" sqref="A1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48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50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ht="13.9" spans="1:13">
      <c r="A8" s="6"/>
      <c r="B8" s="7" t="s">
        <v>52</v>
      </c>
      <c r="C8" s="10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ht="13.9" spans="1:13">
      <c r="A14" s="8"/>
      <c r="B14" s="9" t="s">
        <v>73</v>
      </c>
      <c r="C14" s="4" t="s">
        <v>74</v>
      </c>
      <c r="D14" s="4" t="s">
        <v>61</v>
      </c>
      <c r="E14" s="4"/>
      <c r="F14" s="13" t="s">
        <v>75</v>
      </c>
      <c r="G14" s="12"/>
      <c r="H14" s="12"/>
      <c r="I14" s="15"/>
      <c r="J14" s="13"/>
      <c r="K14" s="12"/>
      <c r="L14" s="12"/>
      <c r="M14" s="15"/>
    </row>
    <row r="15" ht="13.9" spans="1:13">
      <c r="A15" s="8"/>
      <c r="B15" s="9" t="s">
        <v>76</v>
      </c>
      <c r="C15" s="4" t="s">
        <v>77</v>
      </c>
      <c r="D15" s="4" t="s">
        <v>61</v>
      </c>
      <c r="E15" s="4"/>
      <c r="F15" s="13" t="s">
        <v>78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79</v>
      </c>
      <c r="C16" s="4" t="s">
        <v>77</v>
      </c>
      <c r="D16" s="4" t="s">
        <v>61</v>
      </c>
      <c r="E16" s="4"/>
      <c r="F16" s="11" t="s">
        <v>80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1" sqref="C11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81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82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ht="13.9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ht="13.9" spans="1:13">
      <c r="A14" s="8"/>
      <c r="B14" s="9" t="s">
        <v>83</v>
      </c>
      <c r="C14" s="4" t="s">
        <v>74</v>
      </c>
      <c r="D14" s="4" t="s">
        <v>61</v>
      </c>
      <c r="E14" s="4"/>
      <c r="F14" s="13" t="s">
        <v>84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85</v>
      </c>
      <c r="C15" s="4" t="s">
        <v>86</v>
      </c>
      <c r="D15" s="4" t="s">
        <v>61</v>
      </c>
      <c r="E15" s="4"/>
      <c r="F15" s="13" t="s">
        <v>87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1" sqref="C11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88</v>
      </c>
      <c r="C1" s="3"/>
      <c r="D1" s="3"/>
      <c r="E1" s="3"/>
      <c r="F1" s="3"/>
      <c r="G1" s="3"/>
      <c r="H1" s="3"/>
      <c r="I1" s="14" t="s">
        <v>49</v>
      </c>
    </row>
    <row r="2" ht="13.9" spans="1:9">
      <c r="A2" s="2" t="s">
        <v>5</v>
      </c>
      <c r="B2" s="3" t="s">
        <v>89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ht="13.9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ht="13.9" spans="1:13">
      <c r="A14" s="8"/>
      <c r="B14" s="9" t="s">
        <v>90</v>
      </c>
      <c r="C14" s="4" t="s">
        <v>58</v>
      </c>
      <c r="D14" s="4" t="s">
        <v>61</v>
      </c>
      <c r="E14" s="4"/>
      <c r="F14" s="13" t="s">
        <v>91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92</v>
      </c>
      <c r="C15" s="4" t="s">
        <v>58</v>
      </c>
      <c r="D15" s="4" t="s">
        <v>61</v>
      </c>
      <c r="E15" s="4"/>
      <c r="F15" s="13" t="s">
        <v>93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M27"/>
  <sheetViews>
    <sheetView tabSelected="1" workbookViewId="0">
      <pane xSplit="1" ySplit="7" topLeftCell="B8" activePane="bottomRight" state="frozen"/>
      <selection/>
      <selection pane="topRight"/>
      <selection pane="bottomLeft"/>
      <selection pane="bottomRight" activeCell="B1" sqref="B1:H1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94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95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ht="13.9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96</v>
      </c>
      <c r="C14" s="4" t="s">
        <v>74</v>
      </c>
      <c r="D14" s="4" t="s">
        <v>61</v>
      </c>
      <c r="E14" s="4"/>
      <c r="F14" s="13" t="s">
        <v>97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98</v>
      </c>
      <c r="C15" s="4" t="s">
        <v>74</v>
      </c>
      <c r="D15" s="4" t="s">
        <v>61</v>
      </c>
      <c r="E15" s="4"/>
      <c r="F15" s="13" t="s">
        <v>99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 t="s">
        <v>100</v>
      </c>
      <c r="C16" s="4" t="s">
        <v>74</v>
      </c>
      <c r="D16" s="4" t="s">
        <v>61</v>
      </c>
      <c r="E16" s="4"/>
      <c r="F16" s="13" t="s">
        <v>101</v>
      </c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B13" sqref="B13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102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103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ht="13.9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8"/>
      <c r="B9" s="9" t="s">
        <v>60</v>
      </c>
      <c r="C9" s="10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8"/>
      <c r="B10" s="9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8"/>
      <c r="B11" s="9" t="s">
        <v>66</v>
      </c>
      <c r="C11" s="10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8"/>
      <c r="B12" s="9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8"/>
      <c r="B13" s="9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8"/>
      <c r="B14" s="9" t="s">
        <v>92</v>
      </c>
      <c r="C14" s="4" t="s">
        <v>58</v>
      </c>
      <c r="D14" s="4" t="s">
        <v>61</v>
      </c>
      <c r="E14" s="4"/>
      <c r="F14" s="13" t="s">
        <v>93</v>
      </c>
      <c r="G14" s="12"/>
      <c r="H14" s="12"/>
      <c r="I14" s="15"/>
      <c r="J14" s="13"/>
      <c r="K14" s="12"/>
      <c r="L14" s="12"/>
      <c r="M14" s="15"/>
    </row>
    <row r="15" spans="1:13">
      <c r="A15" s="8"/>
      <c r="B15" s="9" t="s">
        <v>104</v>
      </c>
      <c r="C15" s="4" t="s">
        <v>58</v>
      </c>
      <c r="D15" s="4" t="s">
        <v>61</v>
      </c>
      <c r="E15" s="4"/>
      <c r="F15" s="13" t="s">
        <v>105</v>
      </c>
      <c r="G15" s="12"/>
      <c r="H15" s="12"/>
      <c r="I15" s="15"/>
      <c r="J15" s="13"/>
      <c r="K15" s="12"/>
      <c r="L15" s="12"/>
      <c r="M15" s="15"/>
    </row>
    <row r="16" spans="1:13">
      <c r="A16" s="8"/>
      <c r="B16" s="9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8"/>
      <c r="B17" s="9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8"/>
      <c r="B18" s="9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8"/>
      <c r="B19" s="9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8"/>
      <c r="B20" s="9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8"/>
      <c r="B21" s="9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8"/>
      <c r="B22" s="9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8"/>
      <c r="B23" s="9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8"/>
      <c r="B24" s="9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8"/>
      <c r="B25" s="9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8"/>
      <c r="B26" s="9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8"/>
      <c r="B27" s="9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~Index~</vt:lpstr>
      <vt:lpstr>~History~</vt:lpstr>
      <vt:lpstr>~Rules~</vt:lpstr>
      <vt:lpstr>sys_user</vt:lpstr>
      <vt:lpstr>sys_role</vt:lpstr>
      <vt:lpstr>sys_user_role</vt:lpstr>
      <vt:lpstr>sys_resource</vt:lpstr>
      <vt:lpstr>sys_role_resource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马周易</cp:lastModifiedBy>
  <dcterms:created xsi:type="dcterms:W3CDTF">2017-11-27T07:09:00Z</dcterms:created>
  <dcterms:modified xsi:type="dcterms:W3CDTF">2019-01-09T13:57:13Z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