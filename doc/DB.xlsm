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00" windowHeight="8235" firstSheet="7" activeTab="11"/>
  </bookViews>
  <sheets>
    <sheet name="~Index~" sheetId="1" r:id="rId1"/>
    <sheet name="~History~" sheetId="2" r:id="rId2"/>
    <sheet name="~Rules~" sheetId="3" r:id="rId3"/>
    <sheet name="auth_api" sheetId="10" r:id="rId4"/>
    <sheet name="auth_api_operation" sheetId="11" r:id="rId5"/>
    <sheet name="auth_api_param" sheetId="12" r:id="rId6"/>
    <sheet name="auth_application" sheetId="9" r:id="rId7"/>
    <sheet name="auth_role" sheetId="5" r:id="rId8"/>
    <sheet name="auth_role_operation" sheetId="8" r:id="rId9"/>
    <sheet name="auth_user" sheetId="4" r:id="rId10"/>
    <sheet name="auth_user_role" sheetId="6" r:id="rId11"/>
    <sheet name="system_message" sheetId="13" r:id="rId12"/>
  </sheets>
  <calcPr calcId="144525"/>
</workbook>
</file>

<file path=xl/sharedStrings.xml><?xml version="1.0" encoding="utf-8"?>
<sst xmlns="http://schemas.openxmlformats.org/spreadsheetml/2006/main" count="137">
  <si>
    <t>Database Modeling Excel</t>
  </si>
  <si>
    <t>No</t>
  </si>
  <si>
    <t>Table</t>
  </si>
  <si>
    <t>Page</t>
  </si>
  <si>
    <t>...</t>
  </si>
  <si>
    <t>Comment</t>
  </si>
  <si>
    <t>&gt;&gt;</t>
  </si>
  <si>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</si>
  <si>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</si>
  <si>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</si>
  <si>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</si>
  <si>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</si>
  <si>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</si>
  <si>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</si>
  <si>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</si>
  <si>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</si>
  <si>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</si>
  <si>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</si>
  <si>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</si>
  <si>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</si>
  <si>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</si>
  <si>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PK is a cluster index default.</t>
  </si>
  <si>
    <t>Y' in 'C' column indicates the correspoding PK or index is clusterred.</t>
  </si>
  <si>
    <t>N' in 'C' column indicates the correspoding PK or index is not clusterred.</t>
  </si>
  <si>
    <t xml:space="preserve">Sample: </t>
  </si>
  <si>
    <t>C</t>
  </si>
  <si>
    <t>Field1, Field 2;
Field3</t>
  </si>
  <si>
    <t>;
Y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</si>
  <si>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</si>
  <si>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</si>
  <si>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</si>
  <si>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</si>
  <si>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>U</t>
  </si>
  <si>
    <t>Field1, Field2;
Field3</t>
  </si>
  <si>
    <t>;
N</t>
  </si>
  <si>
    <t xml:space="preserve">DataType </t>
  </si>
  <si>
    <t>Data type and other column options</t>
  </si>
  <si>
    <t>Default</t>
  </si>
  <si>
    <t>date('now')</t>
  </si>
  <si>
    <t>For current date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</si>
  <si>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</si>
  <si>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</si>
  <si>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</si>
  <si>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</si>
  <si>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</si>
  <si>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</si>
  <si>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</si>
  <si>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</si>
  <si>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auth_api</t>
  </si>
  <si>
    <t>&lt;&lt;</t>
  </si>
  <si>
    <t>应用API表</t>
  </si>
  <si>
    <t>Status</t>
  </si>
  <si>
    <t>id</t>
  </si>
  <si>
    <t>N</t>
  </si>
  <si>
    <t>Column Name</t>
  </si>
  <si>
    <t>Type</t>
  </si>
  <si>
    <t>Null</t>
  </si>
  <si>
    <t>Column Label</t>
  </si>
  <si>
    <t>bigint</t>
  </si>
  <si>
    <t>ID</t>
  </si>
  <si>
    <t>created_by</t>
  </si>
  <si>
    <t>Yes</t>
  </si>
  <si>
    <t>创建者</t>
  </si>
  <si>
    <t>created_date_time</t>
  </si>
  <si>
    <t>timestamp</t>
  </si>
  <si>
    <t>创建时间</t>
  </si>
  <si>
    <t>last_modified_by</t>
  </si>
  <si>
    <t>修改者</t>
  </si>
  <si>
    <t>last_modified_date_time</t>
  </si>
  <si>
    <r>
      <rPr>
        <sz val="11"/>
        <color theme="1"/>
        <rFont val="等线"/>
        <charset val="134"/>
        <scheme val="minor"/>
      </rPr>
      <t>修改</t>
    </r>
    <r>
      <rPr>
        <sz val="11"/>
        <color theme="1"/>
        <rFont val="等线"/>
        <charset val="134"/>
        <scheme val="minor"/>
      </rPr>
      <t>时间</t>
    </r>
  </si>
  <si>
    <t>deleted</t>
  </si>
  <si>
    <t>boolean</t>
  </si>
  <si>
    <t>已删除</t>
  </si>
  <si>
    <t>name</t>
  </si>
  <si>
    <t>varchar(50)</t>
  </si>
  <si>
    <t>API名</t>
  </si>
  <si>
    <t>display_name</t>
  </si>
  <si>
    <t>API表示名</t>
  </si>
  <si>
    <t>description</t>
  </si>
  <si>
    <t>varchar(100)</t>
  </si>
  <si>
    <t>API描述</t>
  </si>
  <si>
    <t>application_id</t>
  </si>
  <si>
    <t>应用ID</t>
  </si>
  <si>
    <t>auth_api_operation</t>
  </si>
  <si>
    <t>API操作表</t>
  </si>
  <si>
    <t>API操作名</t>
  </si>
  <si>
    <t>API操作表示名</t>
  </si>
  <si>
    <t>API操作描述</t>
  </si>
  <si>
    <t>api_id</t>
  </si>
  <si>
    <t>API ID</t>
  </si>
  <si>
    <t>auth_api_param</t>
  </si>
  <si>
    <t>API参数表</t>
  </si>
  <si>
    <t>API参数名</t>
  </si>
  <si>
    <t>API参数表示名</t>
  </si>
  <si>
    <t>API参数描述</t>
  </si>
  <si>
    <t>type_name</t>
  </si>
  <si>
    <t>API参数类型名</t>
  </si>
  <si>
    <t>required</t>
  </si>
  <si>
    <t>必须</t>
  </si>
  <si>
    <t>operation_id</t>
  </si>
  <si>
    <t>API操作ID</t>
  </si>
  <si>
    <t>auth_application</t>
  </si>
  <si>
    <t>应用表</t>
  </si>
  <si>
    <t>应用名</t>
  </si>
  <si>
    <t>应用表示名</t>
  </si>
  <si>
    <t>应用描述</t>
  </si>
  <si>
    <t>auth_role</t>
  </si>
  <si>
    <t>角色表</t>
  </si>
  <si>
    <t>角色名</t>
  </si>
  <si>
    <t>角色表示名</t>
  </si>
  <si>
    <t>角色描述</t>
  </si>
  <si>
    <t>auth_role_operation</t>
  </si>
  <si>
    <t>角色操作表</t>
  </si>
  <si>
    <t>role_id</t>
  </si>
  <si>
    <t>角色ID</t>
  </si>
  <si>
    <t>auth_user</t>
  </si>
  <si>
    <t>用户表</t>
  </si>
  <si>
    <t>username</t>
  </si>
  <si>
    <t>用户名</t>
  </si>
  <si>
    <t>password</t>
  </si>
  <si>
    <r>
      <rPr>
        <sz val="11"/>
        <color theme="1"/>
        <rFont val="等线"/>
        <charset val="134"/>
        <scheme val="minor"/>
      </rPr>
      <t>密</t>
    </r>
    <r>
      <rPr>
        <sz val="11"/>
        <color theme="1"/>
        <rFont val="等线"/>
        <charset val="134"/>
        <scheme val="minor"/>
      </rPr>
      <t>码</t>
    </r>
  </si>
  <si>
    <t>secret</t>
  </si>
  <si>
    <t>签名密钥</t>
  </si>
  <si>
    <t>用户表示名</t>
  </si>
  <si>
    <t>auth_user_role</t>
  </si>
  <si>
    <t>用户角色表</t>
  </si>
  <si>
    <t>user_id</t>
  </si>
  <si>
    <r>
      <rPr>
        <sz val="11"/>
        <color theme="1"/>
        <rFont val="等线"/>
        <charset val="134"/>
        <scheme val="minor"/>
      </rPr>
      <t>用</t>
    </r>
    <r>
      <rPr>
        <sz val="11"/>
        <color theme="1"/>
        <rFont val="等线"/>
        <charset val="134"/>
        <scheme val="minor"/>
      </rPr>
      <t>户ID</t>
    </r>
  </si>
  <si>
    <t>system_message</t>
  </si>
  <si>
    <t>消息表</t>
  </si>
  <si>
    <t>code</t>
  </si>
  <si>
    <t>消息编码</t>
  </si>
  <si>
    <t>locale</t>
  </si>
  <si>
    <t>地区</t>
  </si>
  <si>
    <t>text</t>
  </si>
  <si>
    <t>varchar(500)</t>
  </si>
  <si>
    <t>消息文本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</si>
</sst>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3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sz val="11"/>
      <color theme="1"/>
      <name val="等线"/>
      <charset val="128"/>
      <scheme val="minor"/>
    </font>
    <font>
      <b/>
      <sz val="20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006100"/>
      <name val="等线"/>
      <charset val="0"/>
      <scheme val="minor"/>
    </font>
    <font>
      <i/>
      <sz val="11"/>
      <color rgb="FF7F7F7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14" fillId="18" borderId="1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28" borderId="15" applyNumberFormat="0" applyFont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9" fillId="0" borderId="9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16" fillId="0" borderId="14" applyNumberFormat="0" applyFill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8" fillId="7" borderId="8" applyNumberFormat="0" applyAlignment="0" applyProtection="0">
      <alignment vertical="center"/>
    </xf>
    <xf numFmtId="0" fontId="19" fillId="7" borderId="12" applyNumberFormat="0" applyAlignment="0" applyProtection="0">
      <alignment vertical="center"/>
    </xf>
    <xf numFmtId="0" fontId="10" fillId="8" borderId="10" applyNumberFormat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2" fillId="0" borderId="11" applyNumberFormat="0" applyFill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0" fillId="30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6" fillId="16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7" fillId="33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</cellStyleXfs>
  <cellXfs count="26">
    <xf numFmtId="0" fontId="0" fillId="0" borderId="0" xfId="0"/>
    <xf numFmtId="0" fontId="0" fillId="0" borderId="0" xfId="0" applyAlignment="1">
      <alignment vertical="top"/>
    </xf>
    <xf numFmtId="0" fontId="1" fillId="2" borderId="1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vertical="top"/>
    </xf>
    <xf numFmtId="0" fontId="1" fillId="2" borderId="1" xfId="0" applyFont="1" applyFill="1" applyBorder="1" applyAlignment="1">
      <alignment horizontal="center" vertical="top"/>
    </xf>
    <xf numFmtId="0" fontId="0" fillId="3" borderId="1" xfId="0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0" borderId="2" xfId="0" applyFont="1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1" fillId="2" borderId="1" xfId="0" applyFont="1" applyFill="1" applyBorder="1"/>
    <xf numFmtId="0" fontId="0" fillId="0" borderId="4" xfId="0" applyBorder="1" applyAlignment="1">
      <alignment horizontal="left"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5" xfId="0" applyBorder="1" applyAlignment="1">
      <alignment vertical="top" wrapText="1"/>
    </xf>
    <xf numFmtId="0" fontId="0" fillId="0" borderId="6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0" fillId="0" borderId="7" xfId="0" applyBorder="1" applyAlignment="1">
      <alignment vertical="top" wrapText="1"/>
    </xf>
    <xf numFmtId="0" fontId="3" fillId="0" borderId="0" xfId="0" applyFont="1" applyAlignment="1">
      <alignment horizontal="center" vertical="top"/>
    </xf>
    <xf numFmtId="0" fontId="4" fillId="0" borderId="0" xfId="10"/>
    <xf numFmtId="0" fontId="5" fillId="0" borderId="0" xfId="10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F20"/>
  <sheetViews>
    <sheetView workbookViewId="0">
      <selection activeCell="B14" sqref="B14"/>
    </sheetView>
  </sheetViews>
  <sheetFormatPr defaultColWidth="9.12389380530973" defaultRowHeight="13.85" outlineLevelCol="5"/>
  <cols>
    <col min="1" max="2" width="4.75221238938053" style="1" customWidth="1"/>
    <col min="3" max="3" width="100.752212389381" style="1" customWidth="1"/>
    <col min="4" max="5" width="4.75221238938053" style="1" customWidth="1"/>
    <col min="6" max="16384" width="9.12389380530973" style="1"/>
  </cols>
  <sheetData>
    <row r="1" ht="30" customHeight="1" spans="3:3">
      <c r="C1" s="23" t="s">
        <v>0</v>
      </c>
    </row>
    <row r="3" spans="1:6">
      <c r="A3" s="17" t="s">
        <v>1</v>
      </c>
      <c r="B3" s="17"/>
      <c r="C3" s="17" t="s">
        <v>2</v>
      </c>
      <c r="D3" s="17" t="s">
        <v>3</v>
      </c>
      <c r="E3" s="17" t="s">
        <v>4</v>
      </c>
      <c r="F3" s="17" t="s">
        <v>5</v>
      </c>
    </row>
    <row r="4" spans="1:4">
      <c r="A4" s="1">
        <v>1</v>
      </c>
      <c r="B4" s="24" t="s">
        <v>6</v>
      </c>
      <c r="C4" s="1" t="str">
        <f>GetTableName(A4+1)</f>
        <v>~History~</v>
      </c>
      <c r="D4" s="1">
        <v>4</v>
      </c>
    </row>
    <row r="5" spans="1:4">
      <c r="A5" s="1">
        <f t="shared" ref="A5:A20" si="0">A4+1</f>
        <v>2</v>
      </c>
      <c r="B5" s="24" t="s">
        <v>6</v>
      </c>
      <c r="C5" s="1" t="str">
        <f>GetTableName(A5+1)</f>
        <v>~Rules~</v>
      </c>
      <c r="D5" s="1">
        <f t="shared" ref="D5:D20" si="1">IF(C5="","",D4+IF(INT(E4)=0,1,E4))</f>
        <v>5</v>
      </c>
    </row>
    <row r="6" spans="1:6">
      <c r="A6" s="1">
        <f t="shared" si="0"/>
        <v>3</v>
      </c>
      <c r="B6" s="24" t="s">
        <v>6</v>
      </c>
      <c r="C6" s="1" t="str">
        <f>GetTableName(A6+1)</f>
        <v>auth_api</v>
      </c>
      <c r="D6" s="1">
        <f t="shared" si="1"/>
        <v>6</v>
      </c>
      <c r="F6" s="1" t="str">
        <f ca="1">INDIRECT(C6&amp;"!B2")</f>
        <v>应用API表</v>
      </c>
    </row>
    <row r="7" spans="1:6">
      <c r="A7" s="1">
        <f t="shared" si="0"/>
        <v>4</v>
      </c>
      <c r="B7" s="24" t="s">
        <v>6</v>
      </c>
      <c r="C7" s="1" t="str">
        <f>GetTableName(A7+1)</f>
        <v>auth_api_operation</v>
      </c>
      <c r="D7" s="1">
        <f t="shared" si="1"/>
        <v>7</v>
      </c>
      <c r="F7" s="1" t="str">
        <f ca="1" t="shared" ref="F7:F14" si="2">INDIRECT(C7&amp;"!B2")</f>
        <v>API操作表</v>
      </c>
    </row>
    <row r="8" spans="1:6">
      <c r="A8" s="1">
        <f t="shared" si="0"/>
        <v>5</v>
      </c>
      <c r="B8" s="24" t="s">
        <v>6</v>
      </c>
      <c r="C8" s="1" t="str">
        <f>GetTableName(A8+1)</f>
        <v>auth_api_param</v>
      </c>
      <c r="D8" s="1">
        <f t="shared" si="1"/>
        <v>8</v>
      </c>
      <c r="F8" s="1" t="str">
        <f ca="1" t="shared" si="2"/>
        <v>API参数表</v>
      </c>
    </row>
    <row r="9" spans="1:6">
      <c r="A9" s="1">
        <f t="shared" si="0"/>
        <v>6</v>
      </c>
      <c r="B9" s="24" t="s">
        <v>6</v>
      </c>
      <c r="C9" s="1" t="str">
        <f>GetTableName(A9+1)</f>
        <v>auth_application</v>
      </c>
      <c r="D9" s="1">
        <f t="shared" si="1"/>
        <v>9</v>
      </c>
      <c r="F9" s="1" t="str">
        <f ca="1" t="shared" si="2"/>
        <v>应用表</v>
      </c>
    </row>
    <row r="10" spans="1:6">
      <c r="A10" s="1">
        <f t="shared" si="0"/>
        <v>7</v>
      </c>
      <c r="B10" s="24" t="s">
        <v>6</v>
      </c>
      <c r="C10" s="1" t="str">
        <f>GetTableName(A10+1)</f>
        <v>auth_role</v>
      </c>
      <c r="D10" s="1">
        <f t="shared" si="1"/>
        <v>10</v>
      </c>
      <c r="F10" s="1" t="str">
        <f ca="1" t="shared" si="2"/>
        <v>角色表</v>
      </c>
    </row>
    <row r="11" spans="1:6">
      <c r="A11" s="1">
        <f t="shared" si="0"/>
        <v>8</v>
      </c>
      <c r="B11" s="24" t="s">
        <v>6</v>
      </c>
      <c r="C11" s="1" t="str">
        <f>GetTableName(A11+1)</f>
        <v>auth_role_operation</v>
      </c>
      <c r="D11" s="1">
        <f t="shared" si="1"/>
        <v>11</v>
      </c>
      <c r="F11" s="1" t="str">
        <f ca="1" t="shared" si="2"/>
        <v>角色操作表</v>
      </c>
    </row>
    <row r="12" spans="1:6">
      <c r="A12" s="1">
        <f t="shared" si="0"/>
        <v>9</v>
      </c>
      <c r="B12" s="24" t="s">
        <v>6</v>
      </c>
      <c r="C12" s="1" t="str">
        <f>GetTableName(A12+1)</f>
        <v>auth_user</v>
      </c>
      <c r="D12" s="1">
        <f t="shared" si="1"/>
        <v>12</v>
      </c>
      <c r="F12" s="1" t="str">
        <f ca="1" t="shared" si="2"/>
        <v>用户表</v>
      </c>
    </row>
    <row r="13" spans="1:6">
      <c r="A13" s="1">
        <f t="shared" si="0"/>
        <v>10</v>
      </c>
      <c r="B13" s="24" t="s">
        <v>6</v>
      </c>
      <c r="C13" s="1" t="str">
        <f>GetTableName(A13+1)</f>
        <v>auth_user_role</v>
      </c>
      <c r="D13" s="1">
        <f t="shared" si="1"/>
        <v>13</v>
      </c>
      <c r="F13" s="1" t="str">
        <f ca="1" t="shared" si="2"/>
        <v>用户角色表</v>
      </c>
    </row>
    <row r="14" spans="1:6">
      <c r="A14" s="1">
        <f>A13+1</f>
        <v>11</v>
      </c>
      <c r="B14" s="25" t="s">
        <v>6</v>
      </c>
      <c r="C14" s="1" t="str">
        <f>GetTableName(A14+1)</f>
        <v>system_message</v>
      </c>
      <c r="D14" s="1">
        <f t="shared" si="1"/>
        <v>14</v>
      </c>
      <c r="F14" s="1" t="str">
        <f ca="1" t="shared" si="2"/>
        <v>消息表</v>
      </c>
    </row>
    <row r="15" spans="2:4">
      <c r="B15"/>
      <c r="D15" s="1" t="str">
        <f t="shared" si="1"/>
        <v/>
      </c>
    </row>
    <row r="16" spans="2:4">
      <c r="B16"/>
      <c r="D16" s="1" t="str">
        <f t="shared" si="1"/>
        <v/>
      </c>
    </row>
    <row r="17" spans="2:4">
      <c r="B17"/>
      <c r="D17" s="1" t="str">
        <f t="shared" si="1"/>
        <v/>
      </c>
    </row>
    <row r="18" spans="2:4">
      <c r="B18"/>
      <c r="D18" s="1" t="str">
        <f t="shared" si="1"/>
        <v/>
      </c>
    </row>
    <row r="19" spans="2:4">
      <c r="B19"/>
      <c r="D19" s="1" t="str">
        <f t="shared" si="1"/>
        <v/>
      </c>
    </row>
    <row r="20" spans="2:4">
      <c r="B20"/>
      <c r="D20" s="1" t="str">
        <f t="shared" si="1"/>
        <v/>
      </c>
    </row>
  </sheetData>
  <hyperlinks>
    <hyperlink ref="B4" location="'~History~'!A1" display="&gt;&gt;"/>
    <hyperlink ref="B5" location="'~Rules~'!A1" display="&gt;&gt;"/>
    <hyperlink ref="B6" location="'auth_api'!A1" display="&gt;&gt;"/>
    <hyperlink ref="B7" location="'auth_api_operation'!A1" display="&gt;&gt;"/>
    <hyperlink ref="B8" location="'auth_api_param'!A1" display="&gt;&gt;"/>
    <hyperlink ref="B9" location="'auth_application'!A1" display="&gt;&gt;"/>
    <hyperlink ref="B10" location="'auth_role'!A1" display="&gt;&gt;"/>
    <hyperlink ref="B11" location="'auth_role_operation'!A1" display="&gt;&gt;"/>
    <hyperlink ref="B12" location="'auth_user'!A1" display="&gt;&gt;"/>
    <hyperlink ref="B13" location="'auth_user_role'!A1" display="&gt;&gt;"/>
    <hyperlink ref="B14" location="'system_message'!A1" display="&gt;&g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1"/>
  <sheetViews>
    <sheetView workbookViewId="0">
      <selection activeCell="A1" sqref="A1"/>
    </sheetView>
  </sheetViews>
  <sheetFormatPr defaultColWidth="9.12389380530973" defaultRowHeight="13.85" outlineLevelCol="4"/>
  <cols>
    <col min="1" max="1" width="4.75221238938053" style="1" customWidth="1"/>
    <col min="2" max="3" width="12.7522123893805" style="1" customWidth="1"/>
    <col min="4" max="4" width="24.7522123893805" style="1" customWidth="1"/>
    <col min="5" max="5" width="64.7522123893805" style="1" customWidth="1"/>
    <col min="6" max="16384" width="9.12389380530973" style="1"/>
  </cols>
  <sheetData>
    <row r="1" spans="1:5">
      <c r="A1" s="5" t="s">
        <v>7</v>
      </c>
      <c r="B1" s="5" t="s">
        <v>8</v>
      </c>
      <c r="C1" s="5" t="s">
        <v>9</v>
      </c>
      <c r="D1" s="5" t="s">
        <v>10</v>
      </c>
      <c r="E1" s="5"/>
    </row>
    <row r="2" spans="1:5">
      <c r="A2" s="4"/>
      <c r="B2" s="4"/>
      <c r="C2" s="4"/>
      <c r="D2" s="4"/>
      <c r="E2" s="4"/>
    </row>
    <row r="3" spans="1:5">
      <c r="A3" s="4"/>
      <c r="B3" s="4"/>
      <c r="C3" s="4"/>
      <c r="D3" s="4"/>
      <c r="E3" s="4"/>
    </row>
    <row r="4" spans="1:5">
      <c r="A4" s="4"/>
      <c r="B4" s="4"/>
      <c r="C4" s="4"/>
      <c r="D4" s="4"/>
      <c r="E4" s="4"/>
    </row>
    <row r="5" spans="1:5">
      <c r="A5" s="4"/>
      <c r="B5" s="4"/>
      <c r="C5" s="4"/>
      <c r="D5" s="4"/>
      <c r="E5" s="4"/>
    </row>
    <row r="6" spans="1:5">
      <c r="A6" s="4"/>
      <c r="B6" s="4"/>
      <c r="C6" s="4"/>
      <c r="D6" s="4"/>
      <c r="E6" s="4"/>
    </row>
    <row r="7" spans="1:5">
      <c r="A7" s="4"/>
      <c r="B7" s="4"/>
      <c r="C7" s="4"/>
      <c r="D7" s="4"/>
      <c r="E7" s="4"/>
    </row>
    <row r="8" spans="1:5">
      <c r="A8" s="4"/>
      <c r="B8" s="4"/>
      <c r="C8" s="4"/>
      <c r="D8" s="4"/>
      <c r="E8" s="4"/>
    </row>
    <row r="9" spans="1:5">
      <c r="A9" s="4"/>
      <c r="B9" s="4"/>
      <c r="C9" s="4"/>
      <c r="D9" s="4"/>
      <c r="E9" s="4"/>
    </row>
    <row r="10" spans="1:5">
      <c r="A10" s="4"/>
      <c r="B10" s="4"/>
      <c r="C10" s="4"/>
      <c r="D10" s="4"/>
      <c r="E10" s="4"/>
    </row>
    <row r="11" spans="1:5">
      <c r="A11" s="4"/>
      <c r="B11" s="4"/>
      <c r="C11" s="4"/>
      <c r="D11" s="4"/>
      <c r="E11" s="4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23"/>
  <sheetViews>
    <sheetView workbookViewId="0">
      <selection activeCell="A1" sqref="A1"/>
    </sheetView>
  </sheetViews>
  <sheetFormatPr defaultColWidth="9.12389380530973" defaultRowHeight="13.85" outlineLevelCol="4"/>
  <cols>
    <col min="1" max="1" width="2.75221238938053" style="1" customWidth="1"/>
    <col min="2" max="2" width="12.7522123893805" style="1" customWidth="1"/>
    <col min="3" max="3" width="32.7522123893805" style="1" customWidth="1"/>
    <col min="4" max="4" width="48.7522123893805" style="1" customWidth="1"/>
    <col min="5" max="5" width="2.75221238938053" style="1" customWidth="1"/>
    <col min="6" max="16384" width="9.12389380530973" style="1"/>
  </cols>
  <sheetData>
    <row r="1" spans="1:1">
      <c r="A1" s="16" t="s">
        <v>11</v>
      </c>
    </row>
    <row r="2" spans="1:4">
      <c r="A2" s="17" t="s">
        <v>12</v>
      </c>
      <c r="B2" s="16" t="s">
        <v>13</v>
      </c>
      <c r="C2" s="1" t="s">
        <v>14</v>
      </c>
      <c r="D2" s="18" t="s">
        <v>15</v>
      </c>
    </row>
    <row r="3" ht="27.75" spans="1:4">
      <c r="A3" s="17" t="s">
        <v>12</v>
      </c>
      <c r="B3" s="16" t="s">
        <v>16</v>
      </c>
      <c r="C3" s="1" t="s">
        <v>14</v>
      </c>
      <c r="D3" s="19" t="s">
        <v>17</v>
      </c>
    </row>
    <row r="4" ht="27.75" spans="1:4">
      <c r="A4" s="17" t="s">
        <v>12</v>
      </c>
      <c r="B4" s="16" t="s">
        <v>18</v>
      </c>
      <c r="C4" s="1" t="s">
        <v>14</v>
      </c>
      <c r="D4" s="20" t="s">
        <v>19</v>
      </c>
    </row>
    <row r="5" spans="1:3">
      <c r="A5" s="17" t="s">
        <v>12</v>
      </c>
      <c r="B5" s="16" t="s">
        <v>20</v>
      </c>
      <c r="C5" s="1" t="s">
        <v>21</v>
      </c>
    </row>
    <row r="6" spans="1:3">
      <c r="A6" s="21"/>
      <c r="C6" s="1" t="s">
        <v>22</v>
      </c>
    </row>
    <row r="7" spans="1:3">
      <c r="A7" s="21"/>
      <c r="C7" s="1" t="s">
        <v>23</v>
      </c>
    </row>
    <row r="8" spans="1:5">
      <c r="A8" s="21"/>
      <c r="C8" s="1" t="s">
        <v>24</v>
      </c>
      <c r="E8" s="18" t="s">
        <v>25</v>
      </c>
    </row>
    <row r="9" ht="27.75" spans="1:5">
      <c r="A9" s="21"/>
      <c r="D9" s="22" t="s">
        <v>26</v>
      </c>
      <c r="E9" s="20" t="s">
        <v>27</v>
      </c>
    </row>
    <row r="10" spans="1:3">
      <c r="A10" s="17" t="s">
        <v>12</v>
      </c>
      <c r="B10" s="16" t="s">
        <v>28</v>
      </c>
      <c r="C10" s="1" t="s">
        <v>29</v>
      </c>
    </row>
    <row r="11" spans="1:3">
      <c r="A11" s="21"/>
      <c r="C11" s="1" t="s">
        <v>30</v>
      </c>
    </row>
    <row r="12" spans="1:3">
      <c r="A12" s="21"/>
      <c r="C12" s="1" t="s">
        <v>31</v>
      </c>
    </row>
    <row r="13" spans="1:5">
      <c r="A13" s="21"/>
      <c r="C13" s="1" t="s">
        <v>24</v>
      </c>
      <c r="E13" s="18" t="s">
        <v>32</v>
      </c>
    </row>
    <row r="14" ht="27.75" spans="1:5">
      <c r="A14" s="21"/>
      <c r="D14" s="22" t="s">
        <v>33</v>
      </c>
      <c r="E14" s="20" t="s">
        <v>34</v>
      </c>
    </row>
    <row r="15" spans="1:3">
      <c r="A15" s="17" t="s">
        <v>12</v>
      </c>
      <c r="B15" s="16" t="s">
        <v>35</v>
      </c>
      <c r="C15" s="1" t="s">
        <v>36</v>
      </c>
    </row>
    <row r="16" spans="1:4">
      <c r="A16" s="17" t="s">
        <v>12</v>
      </c>
      <c r="B16" s="16" t="s">
        <v>37</v>
      </c>
      <c r="C16" s="1" t="s">
        <v>38</v>
      </c>
      <c r="D16" s="1" t="s">
        <v>39</v>
      </c>
    </row>
    <row r="17" spans="1:3">
      <c r="A17" s="17" t="s">
        <v>12</v>
      </c>
      <c r="B17" s="16" t="s">
        <v>40</v>
      </c>
      <c r="C17" s="1" t="s">
        <v>41</v>
      </c>
    </row>
    <row r="18" spans="1:3">
      <c r="A18" s="21"/>
      <c r="C18" s="1" t="s">
        <v>42</v>
      </c>
    </row>
    <row r="19" spans="1:3">
      <c r="A19" s="17" t="s">
        <v>12</v>
      </c>
      <c r="B19" s="16" t="s">
        <v>43</v>
      </c>
      <c r="C19" s="1" t="s">
        <v>44</v>
      </c>
    </row>
    <row r="20" spans="1:3">
      <c r="A20" s="17" t="s">
        <v>12</v>
      </c>
      <c r="B20" s="16" t="s">
        <v>45</v>
      </c>
      <c r="C20" s="1" t="s">
        <v>46</v>
      </c>
    </row>
    <row r="21" spans="1:1">
      <c r="A21" s="21"/>
    </row>
    <row r="22" spans="1:1">
      <c r="A22" s="21"/>
    </row>
    <row r="23" spans="1:1">
      <c r="A23" s="21"/>
    </row>
  </sheetData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6" sqref="C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48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50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9"/>
      <c r="B9" s="10" t="s">
        <v>60</v>
      </c>
      <c r="C9" s="8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9"/>
      <c r="B10" s="10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9"/>
      <c r="B11" s="10" t="s">
        <v>66</v>
      </c>
      <c r="C11" s="8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9"/>
      <c r="B12" s="10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9"/>
      <c r="B13" s="10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9"/>
      <c r="B14" s="10" t="s">
        <v>73</v>
      </c>
      <c r="C14" s="4" t="s">
        <v>74</v>
      </c>
      <c r="D14" s="4" t="s">
        <v>61</v>
      </c>
      <c r="E14" s="4"/>
      <c r="F14" s="13" t="s">
        <v>75</v>
      </c>
      <c r="G14" s="12"/>
      <c r="H14" s="12"/>
      <c r="I14" s="15"/>
      <c r="J14" s="13"/>
      <c r="K14" s="12"/>
      <c r="L14" s="12"/>
      <c r="M14" s="15"/>
    </row>
    <row r="15" spans="1:13">
      <c r="A15" s="9"/>
      <c r="B15" s="10" t="s">
        <v>76</v>
      </c>
      <c r="C15" s="4" t="s">
        <v>74</v>
      </c>
      <c r="D15" s="4" t="s">
        <v>61</v>
      </c>
      <c r="E15" s="4"/>
      <c r="F15" s="13" t="s">
        <v>77</v>
      </c>
      <c r="G15" s="12"/>
      <c r="H15" s="12"/>
      <c r="I15" s="15"/>
      <c r="J15" s="13"/>
      <c r="K15" s="12"/>
      <c r="L15" s="12"/>
      <c r="M15" s="15"/>
    </row>
    <row r="16" spans="1:13">
      <c r="A16" s="9"/>
      <c r="B16" s="10" t="s">
        <v>78</v>
      </c>
      <c r="C16" s="4" t="s">
        <v>79</v>
      </c>
      <c r="D16" s="4" t="s">
        <v>61</v>
      </c>
      <c r="E16" s="4"/>
      <c r="F16" s="13" t="s">
        <v>80</v>
      </c>
      <c r="G16" s="12"/>
      <c r="H16" s="12"/>
      <c r="I16" s="15"/>
      <c r="J16" s="13"/>
      <c r="K16" s="12"/>
      <c r="L16" s="12"/>
      <c r="M16" s="15"/>
    </row>
    <row r="17" spans="1:13">
      <c r="A17" s="9"/>
      <c r="B17" s="10" t="s">
        <v>81</v>
      </c>
      <c r="C17" s="8" t="s">
        <v>58</v>
      </c>
      <c r="D17" s="4" t="s">
        <v>61</v>
      </c>
      <c r="E17" s="4"/>
      <c r="F17" s="13" t="s">
        <v>82</v>
      </c>
      <c r="G17" s="12"/>
      <c r="H17" s="12"/>
      <c r="I17" s="15"/>
      <c r="J17" s="13"/>
      <c r="K17" s="12"/>
      <c r="L17" s="12"/>
      <c r="M17" s="15"/>
    </row>
    <row r="18" spans="1:13">
      <c r="A18" s="9"/>
      <c r="B18" s="10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9"/>
      <c r="B19" s="10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9"/>
      <c r="B20" s="10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9"/>
      <c r="B21" s="10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9"/>
      <c r="B22" s="10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9"/>
      <c r="B23" s="10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9"/>
      <c r="B24" s="10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9"/>
      <c r="B25" s="10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9"/>
      <c r="B26" s="10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9"/>
      <c r="B27" s="10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4" sqref="C14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83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84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9"/>
      <c r="B9" s="10" t="s">
        <v>60</v>
      </c>
      <c r="C9" s="8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9"/>
      <c r="B10" s="10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9"/>
      <c r="B11" s="10" t="s">
        <v>66</v>
      </c>
      <c r="C11" s="8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9"/>
      <c r="B12" s="10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9"/>
      <c r="B13" s="10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9"/>
      <c r="B14" s="10" t="s">
        <v>73</v>
      </c>
      <c r="C14" s="4" t="s">
        <v>74</v>
      </c>
      <c r="D14" s="4" t="s">
        <v>61</v>
      </c>
      <c r="E14" s="4"/>
      <c r="F14" s="13" t="s">
        <v>85</v>
      </c>
      <c r="G14" s="12"/>
      <c r="H14" s="12"/>
      <c r="I14" s="15"/>
      <c r="J14" s="13"/>
      <c r="K14" s="12"/>
      <c r="L14" s="12"/>
      <c r="M14" s="15"/>
    </row>
    <row r="15" spans="1:13">
      <c r="A15" s="9"/>
      <c r="B15" s="10" t="s">
        <v>76</v>
      </c>
      <c r="C15" s="4" t="s">
        <v>74</v>
      </c>
      <c r="D15" s="4" t="s">
        <v>61</v>
      </c>
      <c r="E15" s="4"/>
      <c r="F15" s="13" t="s">
        <v>86</v>
      </c>
      <c r="G15" s="12"/>
      <c r="H15" s="12"/>
      <c r="I15" s="15"/>
      <c r="J15" s="13"/>
      <c r="K15" s="12"/>
      <c r="L15" s="12"/>
      <c r="M15" s="15"/>
    </row>
    <row r="16" spans="1:13">
      <c r="A16" s="9"/>
      <c r="B16" s="10" t="s">
        <v>78</v>
      </c>
      <c r="C16" s="4" t="s">
        <v>79</v>
      </c>
      <c r="D16" s="4" t="s">
        <v>61</v>
      </c>
      <c r="E16" s="4"/>
      <c r="F16" s="13" t="s">
        <v>87</v>
      </c>
      <c r="G16" s="12"/>
      <c r="H16" s="12"/>
      <c r="I16" s="15"/>
      <c r="J16" s="13"/>
      <c r="K16" s="12"/>
      <c r="L16" s="12"/>
      <c r="M16" s="15"/>
    </row>
    <row r="17" spans="1:13">
      <c r="A17" s="9"/>
      <c r="B17" s="10" t="s">
        <v>88</v>
      </c>
      <c r="C17" s="4" t="s">
        <v>58</v>
      </c>
      <c r="D17" s="4" t="s">
        <v>61</v>
      </c>
      <c r="E17" s="4"/>
      <c r="F17" s="13" t="s">
        <v>89</v>
      </c>
      <c r="G17" s="12"/>
      <c r="H17" s="12"/>
      <c r="I17" s="15"/>
      <c r="J17" s="13"/>
      <c r="K17" s="12"/>
      <c r="L17" s="12"/>
      <c r="M17" s="15"/>
    </row>
    <row r="18" spans="1:13">
      <c r="A18" s="9"/>
      <c r="B18" s="10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9"/>
      <c r="B19" s="10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9"/>
      <c r="B20" s="10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9"/>
      <c r="B21" s="10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9"/>
      <c r="B22" s="10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9"/>
      <c r="B23" s="10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9"/>
      <c r="B24" s="10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9"/>
      <c r="B25" s="10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9"/>
      <c r="B26" s="10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9"/>
      <c r="B27" s="10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5" sqref="C15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90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91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9"/>
      <c r="B9" s="10" t="s">
        <v>60</v>
      </c>
      <c r="C9" s="8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9"/>
      <c r="B10" s="10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9"/>
      <c r="B11" s="10" t="s">
        <v>66</v>
      </c>
      <c r="C11" s="8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9"/>
      <c r="B12" s="10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9"/>
      <c r="B13" s="10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9"/>
      <c r="B14" s="10" t="s">
        <v>73</v>
      </c>
      <c r="C14" s="4" t="s">
        <v>74</v>
      </c>
      <c r="D14" s="4" t="s">
        <v>61</v>
      </c>
      <c r="E14" s="4"/>
      <c r="F14" s="13" t="s">
        <v>92</v>
      </c>
      <c r="G14" s="12"/>
      <c r="H14" s="12"/>
      <c r="I14" s="15"/>
      <c r="J14" s="13"/>
      <c r="K14" s="12"/>
      <c r="L14" s="12"/>
      <c r="M14" s="15"/>
    </row>
    <row r="15" s="1" customFormat="1" spans="1:13">
      <c r="A15" s="9"/>
      <c r="B15" s="10" t="s">
        <v>76</v>
      </c>
      <c r="C15" s="4" t="s">
        <v>74</v>
      </c>
      <c r="D15" s="4" t="s">
        <v>61</v>
      </c>
      <c r="E15" s="4"/>
      <c r="F15" s="13" t="s">
        <v>93</v>
      </c>
      <c r="G15" s="12"/>
      <c r="H15" s="12"/>
      <c r="I15" s="15"/>
      <c r="J15" s="13"/>
      <c r="K15" s="12"/>
      <c r="L15" s="12"/>
      <c r="M15" s="15"/>
    </row>
    <row r="16" spans="1:13">
      <c r="A16" s="9"/>
      <c r="B16" s="10" t="s">
        <v>78</v>
      </c>
      <c r="C16" s="4" t="s">
        <v>79</v>
      </c>
      <c r="D16" s="4" t="s">
        <v>61</v>
      </c>
      <c r="E16" s="4"/>
      <c r="F16" s="13" t="s">
        <v>94</v>
      </c>
      <c r="G16" s="12"/>
      <c r="H16" s="12"/>
      <c r="I16" s="15"/>
      <c r="J16" s="13"/>
      <c r="K16" s="12"/>
      <c r="L16" s="12"/>
      <c r="M16" s="15"/>
    </row>
    <row r="17" spans="1:13">
      <c r="A17" s="9"/>
      <c r="B17" s="10" t="s">
        <v>95</v>
      </c>
      <c r="C17" s="4" t="s">
        <v>79</v>
      </c>
      <c r="D17" s="4" t="s">
        <v>61</v>
      </c>
      <c r="E17" s="4"/>
      <c r="F17" s="13" t="s">
        <v>96</v>
      </c>
      <c r="G17" s="12"/>
      <c r="H17" s="12"/>
      <c r="I17" s="15"/>
      <c r="J17" s="13"/>
      <c r="K17" s="12"/>
      <c r="L17" s="12"/>
      <c r="M17" s="15"/>
    </row>
    <row r="18" spans="1:13">
      <c r="A18" s="9"/>
      <c r="B18" s="10" t="s">
        <v>97</v>
      </c>
      <c r="C18" s="4" t="s">
        <v>71</v>
      </c>
      <c r="D18" s="4" t="s">
        <v>61</v>
      </c>
      <c r="E18" s="4"/>
      <c r="F18" s="13" t="s">
        <v>98</v>
      </c>
      <c r="G18" s="12"/>
      <c r="H18" s="12"/>
      <c r="I18" s="15"/>
      <c r="J18" s="13"/>
      <c r="K18" s="12"/>
      <c r="L18" s="12"/>
      <c r="M18" s="15"/>
    </row>
    <row r="19" spans="1:13">
      <c r="A19" s="9"/>
      <c r="B19" s="10" t="s">
        <v>99</v>
      </c>
      <c r="C19" s="4" t="s">
        <v>58</v>
      </c>
      <c r="D19" s="4" t="s">
        <v>61</v>
      </c>
      <c r="E19" s="4"/>
      <c r="F19" s="13" t="s">
        <v>100</v>
      </c>
      <c r="G19" s="12"/>
      <c r="H19" s="12"/>
      <c r="I19" s="15"/>
      <c r="J19" s="13"/>
      <c r="K19" s="12"/>
      <c r="L19" s="12"/>
      <c r="M19" s="15"/>
    </row>
    <row r="20" spans="1:13">
      <c r="A20" s="9"/>
      <c r="B20" s="10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9"/>
      <c r="B21" s="10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9"/>
      <c r="B22" s="10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9"/>
      <c r="B23" s="10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9"/>
      <c r="B24" s="10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9"/>
      <c r="B25" s="10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9"/>
      <c r="B26" s="10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9"/>
      <c r="B27" s="10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6" sqref="C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101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102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9"/>
      <c r="B9" s="10" t="s">
        <v>60</v>
      </c>
      <c r="C9" s="8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9"/>
      <c r="B10" s="10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9"/>
      <c r="B11" s="10" t="s">
        <v>66</v>
      </c>
      <c r="C11" s="8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9"/>
      <c r="B12" s="10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9"/>
      <c r="B13" s="10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9"/>
      <c r="B14" s="10" t="s">
        <v>73</v>
      </c>
      <c r="C14" s="4" t="s">
        <v>74</v>
      </c>
      <c r="D14" s="4" t="s">
        <v>61</v>
      </c>
      <c r="E14" s="4"/>
      <c r="F14" s="13" t="s">
        <v>103</v>
      </c>
      <c r="G14" s="12"/>
      <c r="H14" s="12"/>
      <c r="I14" s="15"/>
      <c r="J14" s="13"/>
      <c r="K14" s="12"/>
      <c r="L14" s="12"/>
      <c r="M14" s="15"/>
    </row>
    <row r="15" spans="1:13">
      <c r="A15" s="9"/>
      <c r="B15" s="10" t="s">
        <v>76</v>
      </c>
      <c r="C15" s="4" t="s">
        <v>74</v>
      </c>
      <c r="D15" s="4" t="s">
        <v>61</v>
      </c>
      <c r="E15" s="4"/>
      <c r="F15" s="13" t="s">
        <v>104</v>
      </c>
      <c r="G15" s="12"/>
      <c r="H15" s="12"/>
      <c r="I15" s="15"/>
      <c r="J15" s="13"/>
      <c r="K15" s="12"/>
      <c r="L15" s="12"/>
      <c r="M15" s="15"/>
    </row>
    <row r="16" spans="1:13">
      <c r="A16" s="9"/>
      <c r="B16" s="10" t="s">
        <v>78</v>
      </c>
      <c r="C16" s="4" t="s">
        <v>79</v>
      </c>
      <c r="D16" s="4" t="s">
        <v>61</v>
      </c>
      <c r="E16" s="4"/>
      <c r="F16" s="13" t="s">
        <v>105</v>
      </c>
      <c r="G16" s="12"/>
      <c r="H16" s="12"/>
      <c r="I16" s="15"/>
      <c r="J16" s="13"/>
      <c r="K16" s="12"/>
      <c r="L16" s="12"/>
      <c r="M16" s="15"/>
    </row>
    <row r="17" spans="1:13">
      <c r="A17" s="9"/>
      <c r="B17" s="10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9"/>
      <c r="B18" s="10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9"/>
      <c r="B19" s="10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9"/>
      <c r="B20" s="10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9"/>
      <c r="B21" s="10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9"/>
      <c r="B22" s="10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9"/>
      <c r="B23" s="10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9"/>
      <c r="B24" s="10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9"/>
      <c r="B25" s="10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9"/>
      <c r="B26" s="10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9"/>
      <c r="B27" s="10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C14" sqref="C14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106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107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9"/>
      <c r="B9" s="10" t="s">
        <v>60</v>
      </c>
      <c r="C9" s="8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9"/>
      <c r="B10" s="10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9"/>
      <c r="B11" s="10" t="s">
        <v>66</v>
      </c>
      <c r="C11" s="8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9"/>
      <c r="B12" s="10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9"/>
      <c r="B13" s="10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9"/>
      <c r="B14" s="10" t="s">
        <v>73</v>
      </c>
      <c r="C14" s="4" t="s">
        <v>74</v>
      </c>
      <c r="D14" s="4" t="s">
        <v>61</v>
      </c>
      <c r="E14" s="4"/>
      <c r="F14" s="13" t="s">
        <v>108</v>
      </c>
      <c r="G14" s="12"/>
      <c r="H14" s="12"/>
      <c r="I14" s="15"/>
      <c r="J14" s="13"/>
      <c r="K14" s="12"/>
      <c r="L14" s="12"/>
      <c r="M14" s="15"/>
    </row>
    <row r="15" spans="1:13">
      <c r="A15" s="9"/>
      <c r="B15" s="10" t="s">
        <v>76</v>
      </c>
      <c r="C15" s="4" t="s">
        <v>74</v>
      </c>
      <c r="D15" s="4" t="s">
        <v>61</v>
      </c>
      <c r="E15" s="4"/>
      <c r="F15" s="13" t="s">
        <v>109</v>
      </c>
      <c r="G15" s="12"/>
      <c r="H15" s="12"/>
      <c r="I15" s="15"/>
      <c r="J15" s="13"/>
      <c r="K15" s="12"/>
      <c r="L15" s="12"/>
      <c r="M15" s="15"/>
    </row>
    <row r="16" spans="1:13">
      <c r="A16" s="9"/>
      <c r="B16" s="10" t="s">
        <v>78</v>
      </c>
      <c r="C16" s="4" t="s">
        <v>79</v>
      </c>
      <c r="D16" s="4" t="s">
        <v>61</v>
      </c>
      <c r="E16" s="4"/>
      <c r="F16" s="13" t="s">
        <v>110</v>
      </c>
      <c r="G16" s="12"/>
      <c r="H16" s="12"/>
      <c r="I16" s="15"/>
      <c r="J16" s="13"/>
      <c r="K16" s="12"/>
      <c r="L16" s="12"/>
      <c r="M16" s="15"/>
    </row>
    <row r="17" spans="1:13">
      <c r="A17" s="9"/>
      <c r="B17" s="10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9"/>
      <c r="B18" s="10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9"/>
      <c r="B19" s="10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9"/>
      <c r="B20" s="10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9"/>
      <c r="B21" s="10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9"/>
      <c r="B22" s="10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9"/>
      <c r="B23" s="10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9"/>
      <c r="B24" s="10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9"/>
      <c r="B25" s="10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9"/>
      <c r="B26" s="10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9"/>
      <c r="B27" s="10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B2" sqref="B2:F2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111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112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9"/>
      <c r="B9" s="10" t="s">
        <v>60</v>
      </c>
      <c r="C9" s="8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9"/>
      <c r="B10" s="10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9"/>
      <c r="B11" s="10" t="s">
        <v>66</v>
      </c>
      <c r="C11" s="8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9"/>
      <c r="B12" s="10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9"/>
      <c r="B13" s="10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9"/>
      <c r="B14" s="10" t="s">
        <v>113</v>
      </c>
      <c r="C14" s="4" t="s">
        <v>58</v>
      </c>
      <c r="D14" s="4" t="s">
        <v>61</v>
      </c>
      <c r="E14" s="4"/>
      <c r="F14" s="13" t="s">
        <v>114</v>
      </c>
      <c r="G14" s="12"/>
      <c r="H14" s="12"/>
      <c r="I14" s="15"/>
      <c r="J14" s="13"/>
      <c r="K14" s="12"/>
      <c r="L14" s="12"/>
      <c r="M14" s="15"/>
    </row>
    <row r="15" spans="1:13">
      <c r="A15" s="9"/>
      <c r="B15" s="10" t="s">
        <v>99</v>
      </c>
      <c r="C15" s="4" t="s">
        <v>58</v>
      </c>
      <c r="D15" s="4" t="s">
        <v>61</v>
      </c>
      <c r="E15" s="4"/>
      <c r="F15" s="13" t="s">
        <v>100</v>
      </c>
      <c r="G15" s="12"/>
      <c r="H15" s="12"/>
      <c r="I15" s="15"/>
      <c r="J15" s="13"/>
      <c r="K15" s="12"/>
      <c r="L15" s="12"/>
      <c r="M15" s="15"/>
    </row>
    <row r="16" spans="1:13">
      <c r="A16" s="9"/>
      <c r="B16" s="10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9"/>
      <c r="B17" s="10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9"/>
      <c r="B18" s="10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9"/>
      <c r="B19" s="10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9"/>
      <c r="B20" s="10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9"/>
      <c r="B21" s="10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9"/>
      <c r="B22" s="10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9"/>
      <c r="B23" s="10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9"/>
      <c r="B24" s="10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9"/>
      <c r="B25" s="10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9"/>
      <c r="B26" s="10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9"/>
      <c r="B27" s="10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B16" sqref="B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115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116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8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9"/>
      <c r="B9" s="10" t="s">
        <v>60</v>
      </c>
      <c r="C9" s="8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9"/>
      <c r="B10" s="10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9"/>
      <c r="B11" s="10" t="s">
        <v>66</v>
      </c>
      <c r="C11" s="8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9"/>
      <c r="B12" s="10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9"/>
      <c r="B13" s="10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9"/>
      <c r="B14" s="10" t="s">
        <v>117</v>
      </c>
      <c r="C14" s="4" t="s">
        <v>74</v>
      </c>
      <c r="D14" s="4" t="s">
        <v>61</v>
      </c>
      <c r="E14" s="4"/>
      <c r="F14" s="13" t="s">
        <v>118</v>
      </c>
      <c r="G14" s="12"/>
      <c r="H14" s="12"/>
      <c r="I14" s="15"/>
      <c r="J14" s="13"/>
      <c r="K14" s="12"/>
      <c r="L14" s="12"/>
      <c r="M14" s="15"/>
    </row>
    <row r="15" ht="13.9" spans="1:13">
      <c r="A15" s="9"/>
      <c r="B15" s="10" t="s">
        <v>119</v>
      </c>
      <c r="C15" s="4" t="s">
        <v>74</v>
      </c>
      <c r="D15" s="4" t="s">
        <v>61</v>
      </c>
      <c r="E15" s="4"/>
      <c r="F15" s="13" t="s">
        <v>120</v>
      </c>
      <c r="G15" s="12"/>
      <c r="H15" s="12"/>
      <c r="I15" s="15"/>
      <c r="J15" s="13"/>
      <c r="K15" s="12"/>
      <c r="L15" s="12"/>
      <c r="M15" s="15"/>
    </row>
    <row r="16" spans="1:13">
      <c r="A16" s="9"/>
      <c r="B16" s="10" t="s">
        <v>121</v>
      </c>
      <c r="C16" s="4" t="s">
        <v>74</v>
      </c>
      <c r="D16" s="4" t="s">
        <v>61</v>
      </c>
      <c r="E16" s="4"/>
      <c r="F16" s="11" t="s">
        <v>122</v>
      </c>
      <c r="G16" s="12"/>
      <c r="H16" s="12"/>
      <c r="I16" s="15"/>
      <c r="J16" s="13"/>
      <c r="K16" s="12"/>
      <c r="L16" s="12"/>
      <c r="M16" s="15"/>
    </row>
    <row r="17" spans="1:13">
      <c r="A17" s="9"/>
      <c r="B17" s="10" t="s">
        <v>76</v>
      </c>
      <c r="C17" s="4" t="s">
        <v>74</v>
      </c>
      <c r="D17" s="4" t="s">
        <v>61</v>
      </c>
      <c r="E17" s="4"/>
      <c r="F17" s="13" t="s">
        <v>123</v>
      </c>
      <c r="G17" s="12"/>
      <c r="H17" s="12"/>
      <c r="I17" s="15"/>
      <c r="J17" s="13"/>
      <c r="K17" s="12"/>
      <c r="L17" s="12"/>
      <c r="M17" s="15"/>
    </row>
    <row r="18" spans="1:13">
      <c r="A18" s="9"/>
      <c r="B18" s="10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9"/>
      <c r="B19" s="10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9"/>
      <c r="B20" s="10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9"/>
      <c r="B21" s="10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9"/>
      <c r="B22" s="10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9"/>
      <c r="B23" s="10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9"/>
      <c r="B24" s="10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9"/>
      <c r="B25" s="10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9"/>
      <c r="B26" s="10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9"/>
      <c r="B27" s="10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M27"/>
  <sheetViews>
    <sheetView workbookViewId="0">
      <pane xSplit="1" ySplit="7" topLeftCell="B8" activePane="bottomRight" state="frozen"/>
      <selection/>
      <selection pane="topRight"/>
      <selection pane="bottomLeft"/>
      <selection pane="bottomRight" activeCell="B1" sqref="B1:H1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124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125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4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9"/>
      <c r="B9" s="10" t="s">
        <v>60</v>
      </c>
      <c r="C9" s="8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9"/>
      <c r="B10" s="10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9"/>
      <c r="B11" s="10" t="s">
        <v>66</v>
      </c>
      <c r="C11" s="8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9"/>
      <c r="B12" s="10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9"/>
      <c r="B13" s="10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ht="13.9" spans="1:13">
      <c r="A14" s="9"/>
      <c r="B14" s="10" t="s">
        <v>126</v>
      </c>
      <c r="C14" s="4" t="s">
        <v>58</v>
      </c>
      <c r="D14" s="4" t="s">
        <v>61</v>
      </c>
      <c r="E14" s="4"/>
      <c r="F14" s="13" t="s">
        <v>127</v>
      </c>
      <c r="G14" s="12"/>
      <c r="H14" s="12"/>
      <c r="I14" s="15"/>
      <c r="J14" s="13"/>
      <c r="K14" s="12"/>
      <c r="L14" s="12"/>
      <c r="M14" s="15"/>
    </row>
    <row r="15" spans="1:13">
      <c r="A15" s="9"/>
      <c r="B15" s="10" t="s">
        <v>113</v>
      </c>
      <c r="C15" s="4" t="s">
        <v>58</v>
      </c>
      <c r="D15" s="4" t="s">
        <v>61</v>
      </c>
      <c r="E15" s="4"/>
      <c r="F15" s="13" t="s">
        <v>114</v>
      </c>
      <c r="G15" s="12"/>
      <c r="H15" s="12"/>
      <c r="I15" s="15"/>
      <c r="J15" s="13"/>
      <c r="K15" s="12"/>
      <c r="L15" s="12"/>
      <c r="M15" s="15"/>
    </row>
    <row r="16" spans="1:13">
      <c r="A16" s="9"/>
      <c r="B16" s="10"/>
      <c r="C16" s="4"/>
      <c r="D16" s="4"/>
      <c r="E16" s="4"/>
      <c r="F16" s="13"/>
      <c r="G16" s="12"/>
      <c r="H16" s="12"/>
      <c r="I16" s="15"/>
      <c r="J16" s="13"/>
      <c r="K16" s="12"/>
      <c r="L16" s="12"/>
      <c r="M16" s="15"/>
    </row>
    <row r="17" spans="1:13">
      <c r="A17" s="9"/>
      <c r="B17" s="10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9"/>
      <c r="B18" s="10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9"/>
      <c r="B19" s="10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9"/>
      <c r="B20" s="10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9"/>
      <c r="B21" s="10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9"/>
      <c r="B22" s="10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9"/>
      <c r="B23" s="10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9"/>
      <c r="B24" s="10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9"/>
      <c r="B25" s="10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9"/>
      <c r="B26" s="10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9"/>
      <c r="B27" s="10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M27"/>
  <sheetViews>
    <sheetView tabSelected="1" workbookViewId="0">
      <pane xSplit="1" ySplit="7" topLeftCell="B8" activePane="bottomRight" state="frozen"/>
      <selection/>
      <selection pane="topRight"/>
      <selection pane="bottomLeft"/>
      <selection pane="bottomRight" activeCell="F16" sqref="F16:I16"/>
    </sheetView>
  </sheetViews>
  <sheetFormatPr defaultColWidth="9.12389380530973" defaultRowHeight="13.85"/>
  <cols>
    <col min="1" max="2" width="24.7522123893805" style="1" customWidth="1"/>
    <col min="3" max="3" width="20.7522123893805" style="1" customWidth="1"/>
    <col min="4" max="4" width="4.75221238938053" style="1" customWidth="1"/>
    <col min="5" max="5" width="12.7522123893805" style="1" customWidth="1"/>
    <col min="6" max="6" width="24.7522123893805" style="1" customWidth="1"/>
    <col min="7" max="8" width="2.75221238938053" style="1" customWidth="1"/>
    <col min="9" max="9" width="12.7522123893805" style="1" customWidth="1"/>
    <col min="10" max="16384" width="9.12389380530973" style="1"/>
  </cols>
  <sheetData>
    <row r="1" spans="1:9">
      <c r="A1" s="2" t="s">
        <v>47</v>
      </c>
      <c r="B1" s="3" t="s">
        <v>128</v>
      </c>
      <c r="C1" s="3"/>
      <c r="D1" s="3"/>
      <c r="E1" s="3"/>
      <c r="F1" s="3"/>
      <c r="G1" s="3"/>
      <c r="H1" s="3"/>
      <c r="I1" s="14" t="s">
        <v>49</v>
      </c>
    </row>
    <row r="2" spans="1:9">
      <c r="A2" s="2" t="s">
        <v>5</v>
      </c>
      <c r="B2" s="3" t="s">
        <v>129</v>
      </c>
      <c r="C2" s="3"/>
      <c r="D2" s="3"/>
      <c r="E2" s="3"/>
      <c r="F2" s="3"/>
      <c r="G2" s="2" t="s">
        <v>32</v>
      </c>
      <c r="H2" s="2" t="s">
        <v>25</v>
      </c>
      <c r="I2" s="2" t="s">
        <v>51</v>
      </c>
    </row>
    <row r="3" spans="1:9">
      <c r="A3" s="2" t="s">
        <v>13</v>
      </c>
      <c r="B3" s="3" t="s">
        <v>52</v>
      </c>
      <c r="C3" s="3"/>
      <c r="D3" s="3"/>
      <c r="E3" s="3"/>
      <c r="F3" s="3"/>
      <c r="G3" s="4"/>
      <c r="H3" s="4" t="s">
        <v>53</v>
      </c>
      <c r="I3" s="4"/>
    </row>
    <row r="4" ht="15" customHeight="1" spans="1:9">
      <c r="A4" s="2" t="s">
        <v>16</v>
      </c>
      <c r="B4" s="3"/>
      <c r="C4" s="3"/>
      <c r="D4" s="3"/>
      <c r="E4" s="3"/>
      <c r="F4" s="3"/>
      <c r="G4" s="4"/>
      <c r="H4" s="4"/>
      <c r="I4" s="4"/>
    </row>
    <row r="5" ht="15" customHeight="1" spans="1:9">
      <c r="A5" s="2" t="s">
        <v>18</v>
      </c>
      <c r="B5" s="3"/>
      <c r="C5" s="3"/>
      <c r="D5" s="3"/>
      <c r="E5" s="3"/>
      <c r="F5" s="3"/>
      <c r="G5" s="4" t="s">
        <v>53</v>
      </c>
      <c r="H5" s="4"/>
      <c r="I5" s="4"/>
    </row>
    <row r="7" spans="1:13">
      <c r="A7" s="5"/>
      <c r="B7" s="5" t="s">
        <v>54</v>
      </c>
      <c r="C7" s="5" t="s">
        <v>55</v>
      </c>
      <c r="D7" s="5" t="s">
        <v>56</v>
      </c>
      <c r="E7" s="5" t="s">
        <v>37</v>
      </c>
      <c r="F7" s="5" t="s">
        <v>57</v>
      </c>
      <c r="G7" s="5"/>
      <c r="H7" s="5"/>
      <c r="I7" s="5"/>
      <c r="J7" s="5" t="s">
        <v>5</v>
      </c>
      <c r="K7" s="5"/>
      <c r="L7" s="5"/>
      <c r="M7" s="5"/>
    </row>
    <row r="8" spans="1:13">
      <c r="A8" s="6"/>
      <c r="B8" s="7" t="s">
        <v>52</v>
      </c>
      <c r="C8" s="8" t="s">
        <v>58</v>
      </c>
      <c r="D8" s="4" t="s">
        <v>1</v>
      </c>
      <c r="E8" s="4"/>
      <c r="F8" s="3" t="s">
        <v>59</v>
      </c>
      <c r="G8" s="3"/>
      <c r="H8" s="3"/>
      <c r="I8" s="3"/>
      <c r="J8" s="3"/>
      <c r="K8" s="3"/>
      <c r="L8" s="3"/>
      <c r="M8" s="3"/>
    </row>
    <row r="9" spans="1:13">
      <c r="A9" s="9"/>
      <c r="B9" s="10" t="s">
        <v>60</v>
      </c>
      <c r="C9" s="8" t="s">
        <v>58</v>
      </c>
      <c r="D9" s="4" t="s">
        <v>61</v>
      </c>
      <c r="E9" s="4"/>
      <c r="F9" s="11" t="s">
        <v>62</v>
      </c>
      <c r="G9" s="12"/>
      <c r="H9" s="12"/>
      <c r="I9" s="15"/>
      <c r="J9" s="13"/>
      <c r="K9" s="12"/>
      <c r="L9" s="12"/>
      <c r="M9" s="15"/>
    </row>
    <row r="10" spans="1:13">
      <c r="A10" s="9"/>
      <c r="B10" s="10" t="s">
        <v>63</v>
      </c>
      <c r="C10" s="4" t="s">
        <v>64</v>
      </c>
      <c r="D10" s="4" t="s">
        <v>61</v>
      </c>
      <c r="E10" s="4"/>
      <c r="F10" s="11" t="s">
        <v>65</v>
      </c>
      <c r="G10" s="12"/>
      <c r="H10" s="12"/>
      <c r="I10" s="15"/>
      <c r="J10" s="13"/>
      <c r="K10" s="12"/>
      <c r="L10" s="12"/>
      <c r="M10" s="15"/>
    </row>
    <row r="11" spans="1:13">
      <c r="A11" s="9"/>
      <c r="B11" s="10" t="s">
        <v>66</v>
      </c>
      <c r="C11" s="8" t="s">
        <v>58</v>
      </c>
      <c r="D11" s="4" t="s">
        <v>61</v>
      </c>
      <c r="E11" s="4"/>
      <c r="F11" s="13" t="s">
        <v>67</v>
      </c>
      <c r="G11" s="12"/>
      <c r="H11" s="12"/>
      <c r="I11" s="15"/>
      <c r="J11" s="13"/>
      <c r="K11" s="12"/>
      <c r="L11" s="12"/>
      <c r="M11" s="15"/>
    </row>
    <row r="12" ht="13.9" spans="1:13">
      <c r="A12" s="9"/>
      <c r="B12" s="10" t="s">
        <v>68</v>
      </c>
      <c r="C12" s="4" t="s">
        <v>64</v>
      </c>
      <c r="D12" s="4" t="s">
        <v>61</v>
      </c>
      <c r="E12" s="4"/>
      <c r="F12" s="13" t="s">
        <v>69</v>
      </c>
      <c r="G12" s="12"/>
      <c r="H12" s="12"/>
      <c r="I12" s="15"/>
      <c r="J12" s="13"/>
      <c r="K12" s="12"/>
      <c r="L12" s="12"/>
      <c r="M12" s="15"/>
    </row>
    <row r="13" spans="1:13">
      <c r="A13" s="9"/>
      <c r="B13" s="10" t="s">
        <v>70</v>
      </c>
      <c r="C13" s="4" t="s">
        <v>71</v>
      </c>
      <c r="D13" s="4" t="s">
        <v>61</v>
      </c>
      <c r="E13" s="4"/>
      <c r="F13" s="11" t="s">
        <v>72</v>
      </c>
      <c r="G13" s="12"/>
      <c r="H13" s="12"/>
      <c r="I13" s="15"/>
      <c r="J13" s="13"/>
      <c r="K13" s="12"/>
      <c r="L13" s="12"/>
      <c r="M13" s="15"/>
    </row>
    <row r="14" spans="1:13">
      <c r="A14" s="9"/>
      <c r="B14" s="10" t="s">
        <v>130</v>
      </c>
      <c r="C14" s="4" t="s">
        <v>74</v>
      </c>
      <c r="D14" s="4" t="s">
        <v>61</v>
      </c>
      <c r="E14" s="4"/>
      <c r="F14" s="13" t="s">
        <v>131</v>
      </c>
      <c r="G14" s="12"/>
      <c r="H14" s="12"/>
      <c r="I14" s="15"/>
      <c r="J14" s="13"/>
      <c r="K14" s="12"/>
      <c r="L14" s="12"/>
      <c r="M14" s="15"/>
    </row>
    <row r="15" spans="1:13">
      <c r="A15" s="9"/>
      <c r="B15" s="10" t="s">
        <v>132</v>
      </c>
      <c r="C15" s="4" t="s">
        <v>74</v>
      </c>
      <c r="D15" s="4" t="s">
        <v>61</v>
      </c>
      <c r="E15" s="4"/>
      <c r="F15" s="13" t="s">
        <v>133</v>
      </c>
      <c r="G15" s="12"/>
      <c r="H15" s="12"/>
      <c r="I15" s="15"/>
      <c r="J15" s="13"/>
      <c r="K15" s="12"/>
      <c r="L15" s="12"/>
      <c r="M15" s="15"/>
    </row>
    <row r="16" spans="1:13">
      <c r="A16" s="9"/>
      <c r="B16" s="10" t="s">
        <v>134</v>
      </c>
      <c r="C16" s="4" t="s">
        <v>135</v>
      </c>
      <c r="D16" s="4" t="s">
        <v>61</v>
      </c>
      <c r="E16" s="4"/>
      <c r="F16" s="11" t="s">
        <v>136</v>
      </c>
      <c r="G16" s="12"/>
      <c r="H16" s="12"/>
      <c r="I16" s="15"/>
      <c r="J16" s="13"/>
      <c r="K16" s="12"/>
      <c r="L16" s="12"/>
      <c r="M16" s="15"/>
    </row>
    <row r="17" spans="1:13">
      <c r="A17" s="9"/>
      <c r="B17" s="10"/>
      <c r="C17" s="4"/>
      <c r="D17" s="4"/>
      <c r="E17" s="4"/>
      <c r="F17" s="13"/>
      <c r="G17" s="12"/>
      <c r="H17" s="12"/>
      <c r="I17" s="15"/>
      <c r="J17" s="13"/>
      <c r="K17" s="12"/>
      <c r="L17" s="12"/>
      <c r="M17" s="15"/>
    </row>
    <row r="18" spans="1:13">
      <c r="A18" s="9"/>
      <c r="B18" s="10"/>
      <c r="C18" s="4"/>
      <c r="D18" s="4"/>
      <c r="E18" s="4"/>
      <c r="F18" s="13"/>
      <c r="G18" s="12"/>
      <c r="H18" s="12"/>
      <c r="I18" s="15"/>
      <c r="J18" s="13"/>
      <c r="K18" s="12"/>
      <c r="L18" s="12"/>
      <c r="M18" s="15"/>
    </row>
    <row r="19" spans="1:13">
      <c r="A19" s="9"/>
      <c r="B19" s="10"/>
      <c r="C19" s="4"/>
      <c r="D19" s="4"/>
      <c r="E19" s="4"/>
      <c r="F19" s="13"/>
      <c r="G19" s="12"/>
      <c r="H19" s="12"/>
      <c r="I19" s="15"/>
      <c r="J19" s="13"/>
      <c r="K19" s="12"/>
      <c r="L19" s="12"/>
      <c r="M19" s="15"/>
    </row>
    <row r="20" spans="1:13">
      <c r="A20" s="9"/>
      <c r="B20" s="10"/>
      <c r="C20" s="4"/>
      <c r="D20" s="4"/>
      <c r="E20" s="4"/>
      <c r="F20" s="13"/>
      <c r="G20" s="12"/>
      <c r="H20" s="12"/>
      <c r="I20" s="15"/>
      <c r="J20" s="13"/>
      <c r="K20" s="12"/>
      <c r="L20" s="12"/>
      <c r="M20" s="15"/>
    </row>
    <row r="21" spans="1:13">
      <c r="A21" s="9"/>
      <c r="B21" s="10"/>
      <c r="C21" s="4"/>
      <c r="D21" s="4"/>
      <c r="E21" s="4"/>
      <c r="F21" s="13"/>
      <c r="G21" s="12"/>
      <c r="H21" s="12"/>
      <c r="I21" s="15"/>
      <c r="J21" s="13"/>
      <c r="K21" s="12"/>
      <c r="L21" s="12"/>
      <c r="M21" s="15"/>
    </row>
    <row r="22" spans="1:13">
      <c r="A22" s="9"/>
      <c r="B22" s="10"/>
      <c r="C22" s="4"/>
      <c r="D22" s="4"/>
      <c r="E22" s="4"/>
      <c r="F22" s="13"/>
      <c r="G22" s="12"/>
      <c r="H22" s="12"/>
      <c r="I22" s="15"/>
      <c r="J22" s="13"/>
      <c r="K22" s="12"/>
      <c r="L22" s="12"/>
      <c r="M22" s="15"/>
    </row>
    <row r="23" spans="1:13">
      <c r="A23" s="9"/>
      <c r="B23" s="10"/>
      <c r="C23" s="4"/>
      <c r="D23" s="4"/>
      <c r="E23" s="4"/>
      <c r="F23" s="13"/>
      <c r="G23" s="12"/>
      <c r="H23" s="12"/>
      <c r="I23" s="15"/>
      <c r="J23" s="13"/>
      <c r="K23" s="12"/>
      <c r="L23" s="12"/>
      <c r="M23" s="15"/>
    </row>
    <row r="24" spans="1:13">
      <c r="A24" s="9"/>
      <c r="B24" s="10"/>
      <c r="C24" s="4"/>
      <c r="D24" s="4"/>
      <c r="E24" s="4"/>
      <c r="F24" s="13"/>
      <c r="G24" s="12"/>
      <c r="H24" s="12"/>
      <c r="I24" s="15"/>
      <c r="J24" s="13"/>
      <c r="K24" s="12"/>
      <c r="L24" s="12"/>
      <c r="M24" s="15"/>
    </row>
    <row r="25" spans="1:13">
      <c r="A25" s="9"/>
      <c r="B25" s="10"/>
      <c r="C25" s="4"/>
      <c r="D25" s="4"/>
      <c r="E25" s="4"/>
      <c r="F25" s="13"/>
      <c r="G25" s="12"/>
      <c r="H25" s="12"/>
      <c r="I25" s="15"/>
      <c r="J25" s="13"/>
      <c r="K25" s="12"/>
      <c r="L25" s="12"/>
      <c r="M25" s="15"/>
    </row>
    <row r="26" spans="1:13">
      <c r="A26" s="9"/>
      <c r="B26" s="10"/>
      <c r="C26" s="4"/>
      <c r="D26" s="4"/>
      <c r="E26" s="4"/>
      <c r="F26" s="13"/>
      <c r="G26" s="12"/>
      <c r="H26" s="12"/>
      <c r="I26" s="15"/>
      <c r="J26" s="13"/>
      <c r="K26" s="12"/>
      <c r="L26" s="12"/>
      <c r="M26" s="15"/>
    </row>
    <row r="27" spans="1:13">
      <c r="A27" s="9"/>
      <c r="B27" s="10"/>
      <c r="C27" s="4"/>
      <c r="D27" s="4"/>
      <c r="E27" s="4"/>
      <c r="F27" s="13"/>
      <c r="G27" s="12"/>
      <c r="H27" s="12"/>
      <c r="I27" s="15"/>
      <c r="J27" s="13"/>
      <c r="K27" s="12"/>
      <c r="L27" s="12"/>
      <c r="M27" s="15"/>
    </row>
  </sheetData>
  <mergeCells count="47">
    <mergeCell ref="B1:H1"/>
    <mergeCell ref="B2:F2"/>
    <mergeCell ref="B3:F3"/>
    <mergeCell ref="B4:F4"/>
    <mergeCell ref="B5:F5"/>
    <mergeCell ref="F7:I7"/>
    <mergeCell ref="J7:M7"/>
    <mergeCell ref="F8:I8"/>
    <mergeCell ref="J8:M8"/>
    <mergeCell ref="F9:I9"/>
    <mergeCell ref="J9:M9"/>
    <mergeCell ref="F10:I10"/>
    <mergeCell ref="J10:M10"/>
    <mergeCell ref="F11:I11"/>
    <mergeCell ref="J11:M11"/>
    <mergeCell ref="F12:I12"/>
    <mergeCell ref="J12:M12"/>
    <mergeCell ref="F13:I13"/>
    <mergeCell ref="J13:M13"/>
    <mergeCell ref="F14:I14"/>
    <mergeCell ref="J14:M14"/>
    <mergeCell ref="F15:I15"/>
    <mergeCell ref="J15:M15"/>
    <mergeCell ref="F16:I16"/>
    <mergeCell ref="J16:M16"/>
    <mergeCell ref="F17:I17"/>
    <mergeCell ref="J17:M17"/>
    <mergeCell ref="F18:I18"/>
    <mergeCell ref="J18:M18"/>
    <mergeCell ref="F19:I19"/>
    <mergeCell ref="J19:M19"/>
    <mergeCell ref="F20:I20"/>
    <mergeCell ref="J20:M20"/>
    <mergeCell ref="F21:I21"/>
    <mergeCell ref="J21:M21"/>
    <mergeCell ref="F22:I22"/>
    <mergeCell ref="J22:M22"/>
    <mergeCell ref="F23:I23"/>
    <mergeCell ref="J23:M23"/>
    <mergeCell ref="F24:I24"/>
    <mergeCell ref="J24:M24"/>
    <mergeCell ref="F25:I25"/>
    <mergeCell ref="J25:M25"/>
    <mergeCell ref="F26:I26"/>
    <mergeCell ref="J26:M26"/>
    <mergeCell ref="F27:I27"/>
    <mergeCell ref="J27:M27"/>
  </mergeCells>
  <hyperlinks>
    <hyperlink ref="I1" location="'~Index~'!A1" display="&lt;&lt;"/>
  </hyperlinks>
  <pageMargins left="0.699305555555556" right="0.699305555555556" top="0.75" bottom="0.75" header="0.3" footer="0.3"/>
  <pageSetup paperSize="9" orientation="landscape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~Index~</vt:lpstr>
      <vt:lpstr>~History~</vt:lpstr>
      <vt:lpstr>~Rules~</vt:lpstr>
      <vt:lpstr>auth_api</vt:lpstr>
      <vt:lpstr>auth_api_operation</vt:lpstr>
      <vt:lpstr>auth_api_param</vt:lpstr>
      <vt:lpstr>auth_application</vt:lpstr>
      <vt:lpstr>auth_role</vt:lpstr>
      <vt:lpstr>auth_role_operation</vt:lpstr>
      <vt:lpstr>auth_user</vt:lpstr>
      <vt:lpstr>auth_user_role</vt:lpstr>
      <vt:lpstr>system_message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Ma</cp:lastModifiedBy>
  <dcterms:created xsi:type="dcterms:W3CDTF">2017-11-27T07:09:00Z</dcterms:created>
  <dcterms:modified xsi:type="dcterms:W3CDTF">2019-01-27T13:36:40Z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2052-11.1.0.8214</vt:lpwstr>
  </property>
</Properties>
</file>