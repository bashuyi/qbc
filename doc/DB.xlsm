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35" firstSheet="7" activeTab="11"/>
  </bookViews>
  <sheets>
    <sheet name="~Index~" sheetId="1" r:id="rId1"/>
    <sheet name="~History~" sheetId="2" r:id="rId2"/>
    <sheet name="~Rules~" sheetId="3" r:id="rId3"/>
    <sheet name="sys_user" sheetId="4" r:id="rId4"/>
    <sheet name="sys_role" sheetId="5" r:id="rId5"/>
    <sheet name="sys_user_role" sheetId="6" r:id="rId6"/>
    <sheet name="sys_application" sheetId="9" r:id="rId7"/>
    <sheet name="sys_api" sheetId="10" r:id="rId8"/>
    <sheet name="sys_api_operation" sheetId="11" r:id="rId9"/>
    <sheet name="sys_api_param" sheetId="12" r:id="rId10"/>
    <sheet name="sys_resource" sheetId="7" r:id="rId11"/>
    <sheet name="sys_role_resource" sheetId="8" r:id="rId12"/>
  </sheets>
  <calcPr calcId="144525"/>
</workbook>
</file>

<file path=xl/sharedStrings.xml><?xml version="1.0" encoding="utf-8"?>
<sst xmlns="http://schemas.openxmlformats.org/spreadsheetml/2006/main" count="132">
  <si>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</si>
  <si>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</si>
  <si>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</si>
  <si>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</si>
  <si>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</si>
  <si>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</si>
  <si>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</si>
  <si>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</si>
  <si>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</si>
  <si>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</si>
  <si>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</si>
  <si>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</si>
  <si>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</si>
  <si>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</si>
  <si>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</si>
  <si>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</si>
  <si>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</si>
  <si>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</si>
  <si>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</si>
  <si>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</si>
  <si>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</si>
  <si>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</si>
  <si>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</si>
  <si>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</si>
  <si>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</si>
  <si>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</si>
  <si>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</si>
  <si>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</si>
  <si>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</si>
  <si>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</si>
  <si>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</si>
  <si>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</si>
  <si>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</si>
  <si>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</si>
  <si>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</si>
  <si>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</si>
  <si>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</si>
  <si>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</si>
  <si>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</si>
  <si>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</si>
  <si>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</si>
  <si>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</si>
  <si>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</si>
  <si>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</si>
  <si>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</si>
  <si>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</si>
  <si>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</si>
  <si>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</si>
  <si>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sys_user</t>
  </si>
  <si>
    <t>&lt;&lt;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</si>
  <si>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</t>
    </r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</t>
    </r>
    <r>
      <rPr>
        <sz val="11"/>
        <color theme="1"/>
        <rFont val="等线"/>
        <charset val="134"/>
        <scheme val="minor"/>
      </rPr>
      <t>表</t>
    </r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</si>
  <si>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</si>
  <si>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</si>
  <si>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</si>
  <si>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</si>
  <si>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</si>
  <si>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</si>
  <si>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</si>
  <si>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</si>
  <si>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t>ID</t>
  </si>
  <si>
    <t>created_by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</si>
  <si>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</si>
  <si>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</si>
  <si>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</si>
  <si>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</si>
  <si>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</si>
  <si>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</si>
  <si>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</si>
  <si>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</si>
  <si>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等线"/>
        <charset val="134"/>
        <scheme val="minor"/>
      </rPr>
      <t>修改</t>
    </r>
    <r>
      <rPr>
        <sz val="11"/>
        <color theme="1"/>
        <rFont val="等线"/>
        <charset val="134"/>
        <scheme val="minor"/>
      </rPr>
      <t>时间</t>
    </r>
  </si>
  <si>
    <t>deleted</t>
  </si>
  <si>
    <t>boolean</t>
  </si>
  <si>
    <t>已删除</t>
  </si>
  <si>
    <t>username</t>
  </si>
  <si>
    <t>varchar(50)</t>
  </si>
  <si>
    <t>用户名</t>
  </si>
  <si>
    <t>password</t>
  </si>
  <si>
    <r>
      <rPr>
        <sz val="11"/>
        <color theme="1"/>
        <rFont val="等线"/>
        <charset val="134"/>
        <scheme val="minor"/>
      </rPr>
      <t>密</t>
    </r>
    <r>
      <rPr>
        <sz val="11"/>
        <color theme="1"/>
        <rFont val="等线"/>
        <charset val="134"/>
        <scheme val="minor"/>
      </rPr>
      <t>码</t>
    </r>
  </si>
  <si>
    <t>secret</t>
  </si>
  <si>
    <t>签名密钥</t>
  </si>
  <si>
    <t>display_name</t>
  </si>
  <si>
    <t>用户表示名</t>
  </si>
  <si>
    <t>sys_role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</si>
  <si>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统角色表</t>
    </r>
  </si>
  <si>
    <t>name</t>
  </si>
  <si>
    <t>角色名</t>
  </si>
  <si>
    <t>角色表示名</t>
  </si>
  <si>
    <t>description</t>
  </si>
  <si>
    <t>varchar(100)</t>
  </si>
  <si>
    <t>角色描述</t>
  </si>
  <si>
    <t>sys_user_role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</si>
  <si>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统用户角色表</t>
    </r>
  </si>
  <si>
    <t>user_id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</si>
  <si>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户ID</t>
    </r>
  </si>
  <si>
    <t>role_id</t>
  </si>
  <si>
    <t>角色ID</t>
  </si>
  <si>
    <t>sys_application</t>
  </si>
  <si>
    <t>系统应用表</t>
  </si>
  <si>
    <t>应用名</t>
  </si>
  <si>
    <t>应用表示名</t>
  </si>
  <si>
    <t>应用描述</t>
  </si>
  <si>
    <t>sys_api</t>
  </si>
  <si>
    <t>系统应用API表</t>
  </si>
  <si>
    <t>API名</t>
  </si>
  <si>
    <t>API表示名</t>
  </si>
  <si>
    <t>API描述</t>
  </si>
  <si>
    <t>application_id</t>
  </si>
  <si>
    <t>应用ID</t>
  </si>
  <si>
    <t>sys_api_operation</t>
  </si>
  <si>
    <t>系统API操作表</t>
  </si>
  <si>
    <t>API操作名</t>
  </si>
  <si>
    <t>API操作表示名</t>
  </si>
  <si>
    <t>API操作描述</t>
  </si>
  <si>
    <t>api_id</t>
  </si>
  <si>
    <t>API ID</t>
  </si>
  <si>
    <t>sys_api_param</t>
  </si>
  <si>
    <t>系统API参数表</t>
  </si>
  <si>
    <t>API参数名</t>
  </si>
  <si>
    <t>API参数表示名</t>
  </si>
  <si>
    <t>API参数描述</t>
  </si>
  <si>
    <t>type_name</t>
  </si>
  <si>
    <t>API参数类型名</t>
  </si>
  <si>
    <t>required</t>
  </si>
  <si>
    <t>必须</t>
  </si>
  <si>
    <t>operation_id</t>
  </si>
  <si>
    <t>API操作ID</t>
  </si>
  <si>
    <t>sys_resource</t>
  </si>
  <si>
    <t>系统资源表</t>
  </si>
  <si>
    <t>sys_role_resource</t>
  </si>
  <si>
    <t>系统角色资源表</t>
  </si>
  <si>
    <t>resource_id</t>
  </si>
  <si>
    <t>资源ID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</si>
</sst>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28"/>
      <scheme val="minor"/>
    </font>
    <font>
      <b/>
      <sz val="20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3" fillId="8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4" borderId="15" applyNumberFormat="0" applyFont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6" fillId="10" borderId="14" applyNumberFormat="0" applyAlignment="0" applyProtection="0">
      <alignment vertical="center"/>
    </xf>
    <xf numFmtId="0" fontId="19" fillId="10" borderId="11" applyNumberFormat="0" applyAlignment="0" applyProtection="0">
      <alignment vertical="center"/>
    </xf>
    <xf numFmtId="0" fontId="12" fillId="7" borderId="10" applyNumberFormat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9" fillId="0" borderId="9" applyNumberFormat="0" applyFill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</cellStyleXfs>
  <cellXfs count="25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/>
    <xf numFmtId="0" fontId="0" fillId="0" borderId="4" xfId="0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3" fillId="0" borderId="0" xfId="0" applyFont="1" applyAlignment="1">
      <alignment horizontal="center" vertical="top"/>
    </xf>
    <xf numFmtId="0" fontId="4" fillId="0" borderId="0" xfId="10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0"/>
  <sheetViews>
    <sheetView workbookViewId="0">
      <selection activeCell="C9" sqref="C9"/>
    </sheetView>
  </sheetViews>
  <sheetFormatPr defaultColWidth="9.12389380530973" defaultRowHeight="13.85" outlineLevelCol="5"/>
  <cols>
    <col min="1" max="2" width="4.75221238938053" style="1" customWidth="1"/>
    <col min="3" max="3" width="100.752212389381" style="1" customWidth="1"/>
    <col min="4" max="5" width="4.75221238938053" style="1" customWidth="1"/>
    <col min="6" max="16384" width="9.12389380530973" style="1"/>
  </cols>
  <sheetData>
    <row r="1" ht="30" customHeight="1" spans="3:3">
      <c r="C1" s="23" t="s">
        <v>0</v>
      </c>
    </row>
    <row r="3" spans="1:6">
      <c r="A3" s="17" t="s">
        <v>1</v>
      </c>
      <c r="B3" s="17"/>
      <c r="C3" s="17" t="s">
        <v>2</v>
      </c>
      <c r="D3" s="17" t="s">
        <v>3</v>
      </c>
      <c r="E3" s="17" t="s">
        <v>4</v>
      </c>
      <c r="F3" s="17" t="s">
        <v>5</v>
      </c>
    </row>
    <row r="4" spans="1:4">
      <c r="A4" s="1">
        <v>1</v>
      </c>
      <c r="B4" s="24" t="s">
        <v>6</v>
      </c>
      <c r="C4" s="1" t="str">
        <f>GetTableName(A4+1)</f>
        <v>~History~</v>
      </c>
      <c r="D4" s="1">
        <v>4</v>
      </c>
    </row>
    <row r="5" spans="1:4">
      <c r="A5" s="1">
        <f t="shared" ref="A5:A20" si="0">A4+1</f>
        <v>2</v>
      </c>
      <c r="B5" s="24" t="s">
        <v>6</v>
      </c>
      <c r="C5" s="1" t="str">
        <f>GetTableName(A5+1)</f>
        <v>~Rules~</v>
      </c>
      <c r="D5" s="1">
        <f t="shared" ref="D5:D20" si="1">IF(C5="","",D4+IF(INT(E4)=0,1,E4))</f>
        <v>5</v>
      </c>
    </row>
    <row r="6" spans="1:6">
      <c r="A6" s="1">
        <f t="shared" si="0"/>
        <v>3</v>
      </c>
      <c r="B6" s="24" t="s">
        <v>6</v>
      </c>
      <c r="C6" s="1" t="str">
        <f>GetTableName(A6+1)</f>
        <v>sys_user</v>
      </c>
      <c r="D6" s="1">
        <f t="shared" si="1"/>
        <v>6</v>
      </c>
      <c r="F6" s="1" t="str">
        <f ca="1">INDIRECT(C6&amp;"!B2")</f>
        <v>系统用户表</v>
      </c>
    </row>
    <row r="7" spans="1:6">
      <c r="A7" s="1">
        <f t="shared" si="0"/>
        <v>4</v>
      </c>
      <c r="B7" s="24" t="s">
        <v>6</v>
      </c>
      <c r="C7" s="1" t="str">
        <f>GetTableName(A7+1)</f>
        <v>sys_role</v>
      </c>
      <c r="D7" s="1">
        <f t="shared" si="1"/>
        <v>7</v>
      </c>
      <c r="F7" s="1" t="str">
        <f ca="1" t="shared" ref="F7:F14" si="2">INDIRECT(C7&amp;"!B2")</f>
        <v>系统角色表</v>
      </c>
    </row>
    <row r="8" spans="1:6">
      <c r="A8" s="1">
        <f t="shared" si="0"/>
        <v>5</v>
      </c>
      <c r="B8" s="24" t="s">
        <v>6</v>
      </c>
      <c r="C8" s="1" t="str">
        <f>GetTableName(A8+1)</f>
        <v>sys_user_role</v>
      </c>
      <c r="D8" s="1">
        <f t="shared" si="1"/>
        <v>8</v>
      </c>
      <c r="F8" s="1" t="str">
        <f ca="1" t="shared" si="2"/>
        <v>系统用户角色表</v>
      </c>
    </row>
    <row r="9" spans="1:6">
      <c r="A9" s="1">
        <f t="shared" si="0"/>
        <v>6</v>
      </c>
      <c r="B9" s="24" t="s">
        <v>6</v>
      </c>
      <c r="C9" s="1" t="str">
        <f>GetTableName(A9+1)</f>
        <v>sys_application</v>
      </c>
      <c r="D9" s="1">
        <f t="shared" si="1"/>
        <v>9</v>
      </c>
      <c r="F9" s="1" t="str">
        <f ca="1" t="shared" si="2"/>
        <v>系统应用表</v>
      </c>
    </row>
    <row r="10" spans="1:6">
      <c r="A10" s="1">
        <f t="shared" si="0"/>
        <v>7</v>
      </c>
      <c r="B10" s="24" t="s">
        <v>6</v>
      </c>
      <c r="C10" s="1" t="str">
        <f>GetTableName(A10+1)</f>
        <v>sys_api</v>
      </c>
      <c r="D10" s="1">
        <f t="shared" si="1"/>
        <v>10</v>
      </c>
      <c r="F10" s="1" t="str">
        <f ca="1" t="shared" si="2"/>
        <v>系统应用API表</v>
      </c>
    </row>
    <row r="11" spans="1:6">
      <c r="A11" s="1">
        <f t="shared" si="0"/>
        <v>8</v>
      </c>
      <c r="B11" s="24" t="s">
        <v>6</v>
      </c>
      <c r="C11" s="1" t="str">
        <f>GetTableName(A11+1)</f>
        <v>sys_api_operation</v>
      </c>
      <c r="D11" s="1">
        <f t="shared" si="1"/>
        <v>11</v>
      </c>
      <c r="F11" s="1" t="str">
        <f ca="1" t="shared" si="2"/>
        <v>系统API操作表</v>
      </c>
    </row>
    <row r="12" spans="1:6">
      <c r="A12" s="1">
        <f t="shared" si="0"/>
        <v>9</v>
      </c>
      <c r="B12" s="24" t="s">
        <v>6</v>
      </c>
      <c r="C12" s="1" t="str">
        <f>GetTableName(A12+1)</f>
        <v>sys_api_param</v>
      </c>
      <c r="D12" s="1">
        <f t="shared" si="1"/>
        <v>12</v>
      </c>
      <c r="F12" s="1" t="str">
        <f ca="1" t="shared" si="2"/>
        <v>系统API参数表</v>
      </c>
    </row>
    <row r="13" spans="1:6">
      <c r="A13" s="1">
        <f t="shared" si="0"/>
        <v>10</v>
      </c>
      <c r="B13" s="24" t="s">
        <v>6</v>
      </c>
      <c r="C13" s="1" t="str">
        <f>GetTableName(A13+1)</f>
        <v>sys_resource</v>
      </c>
      <c r="D13" s="1">
        <f t="shared" si="1"/>
        <v>13</v>
      </c>
      <c r="F13" s="1" t="str">
        <f ca="1" t="shared" si="2"/>
        <v>系统资源表</v>
      </c>
    </row>
    <row r="14" spans="1:6">
      <c r="A14" s="1">
        <f t="shared" si="0"/>
        <v>11</v>
      </c>
      <c r="B14" s="24" t="s">
        <v>6</v>
      </c>
      <c r="C14" s="1" t="str">
        <f>GetTableName(A14+1)</f>
        <v>sys_role_resource</v>
      </c>
      <c r="D14" s="1">
        <f t="shared" si="1"/>
        <v>14</v>
      </c>
      <c r="F14" s="1" t="str">
        <f ca="1" t="shared" si="2"/>
        <v>系统角色资源表</v>
      </c>
    </row>
    <row r="15" spans="1:4">
      <c r="A15" s="1">
        <f t="shared" si="0"/>
        <v>12</v>
      </c>
      <c r="B15" t="s">
        <v>6</v>
      </c>
      <c r="C15" s="1" t="str">
        <f>GetTableName(A15+1)</f>
        <v/>
      </c>
      <c r="D15" s="1" t="str">
        <f t="shared" si="1"/>
        <v/>
      </c>
    </row>
    <row r="16" spans="1:4">
      <c r="A16" s="1">
        <f t="shared" si="0"/>
        <v>13</v>
      </c>
      <c r="B16" t="s">
        <v>6</v>
      </c>
      <c r="C16" s="1" t="str">
        <f>GetTableName(A16+1)</f>
        <v/>
      </c>
      <c r="D16" s="1" t="str">
        <f t="shared" si="1"/>
        <v/>
      </c>
    </row>
    <row r="17" spans="1:4">
      <c r="A17" s="1">
        <f t="shared" si="0"/>
        <v>14</v>
      </c>
      <c r="B17" t="s">
        <v>6</v>
      </c>
      <c r="C17" s="1" t="str">
        <f>GetTableName(A17+1)</f>
        <v/>
      </c>
      <c r="D17" s="1" t="str">
        <f t="shared" si="1"/>
        <v/>
      </c>
    </row>
    <row r="18" spans="1:4">
      <c r="A18" s="1">
        <f t="shared" si="0"/>
        <v>15</v>
      </c>
      <c r="B18" t="s">
        <v>6</v>
      </c>
      <c r="C18" s="1" t="str">
        <f>GetTableName(A18+1)</f>
        <v/>
      </c>
      <c r="D18" s="1" t="str">
        <f t="shared" si="1"/>
        <v/>
      </c>
    </row>
    <row r="19" spans="1:4">
      <c r="A19" s="1">
        <f t="shared" si="0"/>
        <v>16</v>
      </c>
      <c r="B19" t="s">
        <v>6</v>
      </c>
      <c r="C19" s="1" t="str">
        <f>GetTableName(A19+1)</f>
        <v/>
      </c>
      <c r="D19" s="1" t="str">
        <f t="shared" si="1"/>
        <v/>
      </c>
    </row>
    <row r="20" spans="1:4">
      <c r="A20" s="1">
        <f t="shared" si="0"/>
        <v>17</v>
      </c>
      <c r="B20" t="s">
        <v>6</v>
      </c>
      <c r="C20" s="1" t="str">
        <f>GetTableName(A20+1)</f>
        <v/>
      </c>
      <c r="D20" s="1" t="str">
        <f t="shared" si="1"/>
        <v/>
      </c>
    </row>
  </sheetData>
  <hyperlinks>
    <hyperlink ref="B15" location="'region'!A1" display="&gt;&gt;"/>
    <hyperlink ref="B16" location="'shippers'!A1" display="&gt;&gt;"/>
    <hyperlink ref="B17" location="'suppliers'!A1" display="&gt;&gt;"/>
    <hyperlink ref="B18" location="'territories'!A1" display="&gt;&gt;"/>
    <hyperlink ref="B19" location="'sampletable1'!A1" display="&gt;&gt;"/>
    <hyperlink ref="B20" location="'sampletable2'!A1" display="&gt;&gt;"/>
    <hyperlink ref="B4" location="'~History~'!A1" display="&gt;&gt;"/>
    <hyperlink ref="B5" location="'~Rules~'!A1" display="&gt;&gt;"/>
    <hyperlink ref="B6" location="'sys_user'!A1" display="&gt;&gt;"/>
    <hyperlink ref="B7" location="'sys_role'!A1" display="&gt;&gt;"/>
    <hyperlink ref="B8" location="'sys_user_role'!A1" display="&gt;&gt;"/>
    <hyperlink ref="B9" location="'sys_application'!A1" display="&gt;&gt;"/>
    <hyperlink ref="B10" location="'sys_api'!A1" display="&gt;&gt;"/>
    <hyperlink ref="B11" location="'sys_api_operation'!A1" display="&gt;&gt;"/>
    <hyperlink ref="B12" location="'sys_api_param'!A1" display="&gt;&gt;"/>
    <hyperlink ref="B13" location="'sys_resource'!A1" display="&gt;&gt;"/>
    <hyperlink ref="B14" location="'sys_role_resource'!A1" display="&gt;&g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1"/>
  <sheetViews>
    <sheetView workbookViewId="0">
      <selection activeCell="A1" sqref="A1"/>
    </sheetView>
  </sheetViews>
  <sheetFormatPr defaultColWidth="9.12389380530973" defaultRowHeight="13.85" outlineLevelCol="4"/>
  <cols>
    <col min="1" max="1" width="4.75221238938053" style="1" customWidth="1"/>
    <col min="2" max="3" width="12.7522123893805" style="1" customWidth="1"/>
    <col min="4" max="4" width="24.7522123893805" style="1" customWidth="1"/>
    <col min="5" max="5" width="64.7522123893805" style="1" customWidth="1"/>
    <col min="6" max="16384" width="9.12389380530973" style="1"/>
  </cols>
  <sheetData>
    <row r="1" spans="1:5">
      <c r="A1" s="5" t="s">
        <v>7</v>
      </c>
      <c r="B1" s="5" t="s">
        <v>8</v>
      </c>
      <c r="C1" s="5" t="s">
        <v>9</v>
      </c>
      <c r="D1" s="5" t="s">
        <v>10</v>
      </c>
      <c r="E1" s="5"/>
    </row>
    <row r="2" spans="1:5">
      <c r="A2" s="4"/>
      <c r="B2" s="4"/>
      <c r="C2" s="4"/>
      <c r="D2" s="4"/>
      <c r="E2" s="4"/>
    </row>
    <row r="3" spans="1:5">
      <c r="A3" s="4"/>
      <c r="B3" s="4"/>
      <c r="C3" s="4"/>
      <c r="D3" s="4"/>
      <c r="E3" s="4"/>
    </row>
    <row r="4" spans="1:5">
      <c r="A4" s="4"/>
      <c r="B4" s="4"/>
      <c r="C4" s="4"/>
      <c r="D4" s="4"/>
      <c r="E4" s="4"/>
    </row>
    <row r="5" spans="1:5">
      <c r="A5" s="4"/>
      <c r="B5" s="4"/>
      <c r="C5" s="4"/>
      <c r="D5" s="4"/>
      <c r="E5" s="4"/>
    </row>
    <row r="6" spans="1:5">
      <c r="A6" s="4"/>
      <c r="B6" s="4"/>
      <c r="C6" s="4"/>
      <c r="D6" s="4"/>
      <c r="E6" s="4"/>
    </row>
    <row r="7" spans="1:5">
      <c r="A7" s="4"/>
      <c r="B7" s="4"/>
      <c r="C7" s="4"/>
      <c r="D7" s="4"/>
      <c r="E7" s="4"/>
    </row>
    <row r="8" spans="1:5">
      <c r="A8" s="4"/>
      <c r="B8" s="4"/>
      <c r="C8" s="4"/>
      <c r="D8" s="4"/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3"/>
  <sheetViews>
    <sheetView workbookViewId="0">
      <selection activeCell="A1" sqref="A1"/>
    </sheetView>
  </sheetViews>
  <sheetFormatPr defaultColWidth="9.12389380530973" defaultRowHeight="13.85" outlineLevelCol="4"/>
  <cols>
    <col min="1" max="1" width="2.75221238938053" style="1" customWidth="1"/>
    <col min="2" max="2" width="12.7522123893805" style="1" customWidth="1"/>
    <col min="3" max="3" width="32.7522123893805" style="1" customWidth="1"/>
    <col min="4" max="4" width="48.7522123893805" style="1" customWidth="1"/>
    <col min="5" max="5" width="2.75221238938053" style="1" customWidth="1"/>
    <col min="6" max="16384" width="9.12389380530973" style="1"/>
  </cols>
  <sheetData>
    <row r="1" spans="1:1">
      <c r="A1" s="16" t="s">
        <v>11</v>
      </c>
    </row>
    <row r="2" spans="1:4">
      <c r="A2" s="17" t="s">
        <v>12</v>
      </c>
      <c r="B2" s="16" t="s">
        <v>13</v>
      </c>
      <c r="C2" s="1" t="s">
        <v>14</v>
      </c>
      <c r="D2" s="18" t="s">
        <v>15</v>
      </c>
    </row>
    <row r="3" ht="27.75" spans="1:4">
      <c r="A3" s="17" t="s">
        <v>12</v>
      </c>
      <c r="B3" s="16" t="s">
        <v>16</v>
      </c>
      <c r="C3" s="1" t="s">
        <v>14</v>
      </c>
      <c r="D3" s="19" t="s">
        <v>17</v>
      </c>
    </row>
    <row r="4" ht="27.75" spans="1:4">
      <c r="A4" s="17" t="s">
        <v>12</v>
      </c>
      <c r="B4" s="16" t="s">
        <v>18</v>
      </c>
      <c r="C4" s="1" t="s">
        <v>14</v>
      </c>
      <c r="D4" s="20" t="s">
        <v>19</v>
      </c>
    </row>
    <row r="5" spans="1:3">
      <c r="A5" s="17" t="s">
        <v>12</v>
      </c>
      <c r="B5" s="16" t="s">
        <v>20</v>
      </c>
      <c r="C5" s="1" t="s">
        <v>21</v>
      </c>
    </row>
    <row r="6" spans="1:3">
      <c r="A6" s="21"/>
      <c r="C6" s="1" t="s">
        <v>22</v>
      </c>
    </row>
    <row r="7" spans="1:3">
      <c r="A7" s="21"/>
      <c r="C7" s="1" t="s">
        <v>23</v>
      </c>
    </row>
    <row r="8" spans="1:5">
      <c r="A8" s="21"/>
      <c r="C8" s="1" t="s">
        <v>24</v>
      </c>
      <c r="E8" s="18" t="s">
        <v>25</v>
      </c>
    </row>
    <row r="9" ht="27.75" spans="1:5">
      <c r="A9" s="21"/>
      <c r="D9" s="22" t="s">
        <v>26</v>
      </c>
      <c r="E9" s="20" t="s">
        <v>27</v>
      </c>
    </row>
    <row r="10" spans="1:3">
      <c r="A10" s="17" t="s">
        <v>12</v>
      </c>
      <c r="B10" s="16" t="s">
        <v>28</v>
      </c>
      <c r="C10" s="1" t="s">
        <v>29</v>
      </c>
    </row>
    <row r="11" spans="1:3">
      <c r="A11" s="21"/>
      <c r="C11" s="1" t="s">
        <v>30</v>
      </c>
    </row>
    <row r="12" spans="1:3">
      <c r="A12" s="21"/>
      <c r="C12" s="1" t="s">
        <v>31</v>
      </c>
    </row>
    <row r="13" spans="1:5">
      <c r="A13" s="21"/>
      <c r="C13" s="1" t="s">
        <v>24</v>
      </c>
      <c r="E13" s="18" t="s">
        <v>32</v>
      </c>
    </row>
    <row r="14" ht="27.75" spans="1:5">
      <c r="A14" s="21"/>
      <c r="D14" s="22" t="s">
        <v>33</v>
      </c>
      <c r="E14" s="20" t="s">
        <v>34</v>
      </c>
    </row>
    <row r="15" spans="1:3">
      <c r="A15" s="17" t="s">
        <v>12</v>
      </c>
      <c r="B15" s="16" t="s">
        <v>35</v>
      </c>
      <c r="C15" s="1" t="s">
        <v>36</v>
      </c>
    </row>
    <row r="16" spans="1:4">
      <c r="A16" s="17" t="s">
        <v>12</v>
      </c>
      <c r="B16" s="16" t="s">
        <v>37</v>
      </c>
      <c r="C16" s="1" t="s">
        <v>38</v>
      </c>
      <c r="D16" s="1" t="s">
        <v>39</v>
      </c>
    </row>
    <row r="17" spans="1:3">
      <c r="A17" s="17" t="s">
        <v>12</v>
      </c>
      <c r="B17" s="16" t="s">
        <v>40</v>
      </c>
      <c r="C17" s="1" t="s">
        <v>41</v>
      </c>
    </row>
    <row r="18" spans="1:3">
      <c r="A18" s="21"/>
      <c r="C18" s="1" t="s">
        <v>42</v>
      </c>
    </row>
    <row r="19" spans="1:3">
      <c r="A19" s="17" t="s">
        <v>12</v>
      </c>
      <c r="B19" s="16" t="s">
        <v>43</v>
      </c>
      <c r="C19" s="1" t="s">
        <v>44</v>
      </c>
    </row>
    <row r="20" spans="1:3">
      <c r="A20" s="17" t="s">
        <v>12</v>
      </c>
      <c r="B20" s="16" t="s">
        <v>45</v>
      </c>
      <c r="C20" s="1" t="s">
        <v>46</v>
      </c>
    </row>
    <row r="21" spans="1:1">
      <c r="A21" s="21"/>
    </row>
    <row r="22" spans="1:1">
      <c r="A22" s="21"/>
    </row>
    <row r="23" spans="1:1">
      <c r="A23" s="21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5" sqref="C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48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50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10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75</v>
      </c>
      <c r="G14" s="12"/>
      <c r="H14" s="12"/>
      <c r="I14" s="15"/>
      <c r="J14" s="13"/>
      <c r="K14" s="12"/>
      <c r="L14" s="12"/>
      <c r="M14" s="15"/>
    </row>
    <row r="15" ht="13.9" spans="1:13">
      <c r="A15" s="8"/>
      <c r="B15" s="9" t="s">
        <v>76</v>
      </c>
      <c r="C15" s="4" t="s">
        <v>74</v>
      </c>
      <c r="D15" s="4" t="s">
        <v>61</v>
      </c>
      <c r="E15" s="4"/>
      <c r="F15" s="13" t="s">
        <v>77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78</v>
      </c>
      <c r="C16" s="4" t="s">
        <v>74</v>
      </c>
      <c r="D16" s="4" t="s">
        <v>61</v>
      </c>
      <c r="E16" s="4"/>
      <c r="F16" s="11" t="s">
        <v>79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80</v>
      </c>
      <c r="C17" s="4" t="s">
        <v>74</v>
      </c>
      <c r="D17" s="4" t="s">
        <v>61</v>
      </c>
      <c r="E17" s="4"/>
      <c r="F17" s="13" t="s">
        <v>81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8" sqref="C1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82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83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85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86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89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90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91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92</v>
      </c>
      <c r="C14" s="4" t="s">
        <v>58</v>
      </c>
      <c r="D14" s="4" t="s">
        <v>61</v>
      </c>
      <c r="E14" s="4"/>
      <c r="F14" s="13" t="s">
        <v>93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94</v>
      </c>
      <c r="C15" s="4" t="s">
        <v>58</v>
      </c>
      <c r="D15" s="4" t="s">
        <v>61</v>
      </c>
      <c r="E15" s="4"/>
      <c r="F15" s="13" t="s">
        <v>95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20" sqref="C20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96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97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98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99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100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7" sqref="C17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101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103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104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105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106</v>
      </c>
      <c r="C17" s="10" t="s">
        <v>58</v>
      </c>
      <c r="D17" s="4" t="s">
        <v>61</v>
      </c>
      <c r="E17" s="4"/>
      <c r="F17" s="13" t="s">
        <v>107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110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111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112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113</v>
      </c>
      <c r="C17" s="4" t="s">
        <v>58</v>
      </c>
      <c r="D17" s="4" t="s">
        <v>61</v>
      </c>
      <c r="E17" s="4"/>
      <c r="F17" s="13" t="s">
        <v>114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7" sqref="C17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115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116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117</v>
      </c>
      <c r="G14" s="12"/>
      <c r="H14" s="12"/>
      <c r="I14" s="15"/>
      <c r="J14" s="13"/>
      <c r="K14" s="12"/>
      <c r="L14" s="12"/>
      <c r="M14" s="15"/>
    </row>
    <row r="15" s="1" customFormat="1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118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119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120</v>
      </c>
      <c r="C17" s="4" t="s">
        <v>88</v>
      </c>
      <c r="D17" s="4" t="s">
        <v>61</v>
      </c>
      <c r="E17" s="4"/>
      <c r="F17" s="13" t="s">
        <v>121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 t="s">
        <v>122</v>
      </c>
      <c r="C18" s="4" t="s">
        <v>71</v>
      </c>
      <c r="D18" s="4" t="s">
        <v>61</v>
      </c>
      <c r="E18" s="4"/>
      <c r="F18" s="13" t="s">
        <v>123</v>
      </c>
      <c r="G18" s="12"/>
      <c r="H18" s="12"/>
      <c r="I18" s="15"/>
      <c r="J18" s="13"/>
      <c r="K18" s="12"/>
      <c r="L18" s="12"/>
      <c r="M18" s="15"/>
    </row>
    <row r="19" spans="1:13">
      <c r="A19" s="8"/>
      <c r="B19" s="9" t="s">
        <v>124</v>
      </c>
      <c r="C19" s="4" t="s">
        <v>58</v>
      </c>
      <c r="D19" s="4" t="s">
        <v>61</v>
      </c>
      <c r="E19" s="4"/>
      <c r="F19" s="13" t="s">
        <v>125</v>
      </c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8" sqref="B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126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127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106</v>
      </c>
      <c r="C14" s="4" t="s">
        <v>74</v>
      </c>
      <c r="D14" s="4" t="s">
        <v>61</v>
      </c>
      <c r="E14" s="4"/>
      <c r="F14" s="13" t="s">
        <v>107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113</v>
      </c>
      <c r="C15" s="4" t="s">
        <v>74</v>
      </c>
      <c r="D15" s="4" t="s">
        <v>61</v>
      </c>
      <c r="E15" s="4"/>
      <c r="F15" s="13" t="s">
        <v>114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124</v>
      </c>
      <c r="C16" s="4" t="s">
        <v>74</v>
      </c>
      <c r="D16" s="4" t="s">
        <v>61</v>
      </c>
      <c r="E16" s="4"/>
      <c r="F16" s="13" t="s">
        <v>125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M27"/>
  <sheetViews>
    <sheetView tabSelected="1" workbookViewId="0">
      <pane xSplit="1" ySplit="7" topLeftCell="B8" activePane="bottomRight" state="frozen"/>
      <selection/>
      <selection pane="topRight"/>
      <selection pane="bottomLeft"/>
      <selection pane="bottomRight" activeCell="B10" sqref="B10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128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129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94</v>
      </c>
      <c r="C14" s="4" t="s">
        <v>58</v>
      </c>
      <c r="D14" s="4" t="s">
        <v>61</v>
      </c>
      <c r="E14" s="4"/>
      <c r="F14" s="13" t="s">
        <v>95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130</v>
      </c>
      <c r="C15" s="4" t="s">
        <v>58</v>
      </c>
      <c r="D15" s="4" t="s">
        <v>61</v>
      </c>
      <c r="E15" s="4"/>
      <c r="F15" s="13" t="s">
        <v>131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~Index~</vt:lpstr>
      <vt:lpstr>~History~</vt:lpstr>
      <vt:lpstr>~Rules~</vt:lpstr>
      <vt:lpstr>sys_user</vt:lpstr>
      <vt:lpstr>sys_role</vt:lpstr>
      <vt:lpstr>sys_user_role</vt:lpstr>
      <vt:lpstr>sys_application</vt:lpstr>
      <vt:lpstr>sys_api</vt:lpstr>
      <vt:lpstr>sys_api_operation</vt:lpstr>
      <vt:lpstr>sys_api_param</vt:lpstr>
      <vt:lpstr>sys_resource</vt:lpstr>
      <vt:lpstr>sys_role_resource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Ma</cp:lastModifiedBy>
  <dcterms:created xsi:type="dcterms:W3CDTF">2017-11-27T07:09:00Z</dcterms:created>
  <dcterms:modified xsi:type="dcterms:W3CDTF">2019-01-12T14:30:13Z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