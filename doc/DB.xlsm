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6"/>
  </bookViews>
  <sheets>
    <sheet name="~Index~" sheetId="1" r:id="rId1"/>
    <sheet name="~History~" sheetId="2" r:id="rId2"/>
    <sheet name="~Rules~" sheetId="3" r:id="rId3"/>
    <sheet name="sys_api" sheetId="10" r:id="rId4"/>
    <sheet name="sys_api_operation" sheetId="11" r:id="rId5"/>
    <sheet name="sys_api_param" sheetId="12" r:id="rId6"/>
    <sheet name="sys_application" sheetId="9" r:id="rId7"/>
    <sheet name="sys_role" sheetId="5" r:id="rId8"/>
    <sheet name="sys_role_operation" sheetId="8" r:id="rId9"/>
    <sheet name="sys_user" sheetId="4" r:id="rId10"/>
    <sheet name="sys_user_role" sheetId="6" r:id="rId11"/>
  </sheets>
  <calcPr calcId="144525"/>
</workbook>
</file>

<file path=xl/sharedStrings.xml><?xml version="1.0" encoding="utf-8"?>
<sst xmlns="http://schemas.openxmlformats.org/spreadsheetml/2006/main" count="130">
  <si>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</si>
  <si>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</si>
  <si>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</si>
  <si>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</si>
  <si>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</si>
  <si>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</si>
  <si>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</si>
  <si>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</si>
  <si>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</si>
  <si>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</si>
  <si>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</si>
  <si>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</si>
  <si>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</si>
  <si>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</si>
  <si>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</si>
  <si>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</si>
  <si>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</si>
  <si>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</si>
  <si>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</si>
  <si>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</si>
  <si>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</si>
  <si>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</si>
  <si>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</si>
  <si>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</si>
  <si>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</si>
  <si>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</si>
  <si>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</si>
  <si>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</si>
  <si>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</si>
  <si>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</si>
  <si>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</si>
  <si>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</si>
  <si>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</si>
  <si>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</si>
  <si>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</si>
  <si>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</si>
  <si>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</si>
  <si>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</si>
  <si>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</si>
  <si>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</si>
  <si>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</si>
  <si>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</si>
  <si>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</si>
  <si>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</si>
  <si>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</si>
  <si>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</si>
  <si>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</si>
  <si>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</si>
  <si>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sys_api</t>
  </si>
  <si>
    <t>&lt;&lt;</t>
  </si>
  <si>
    <t>系统应用API表</t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</si>
  <si>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</si>
  <si>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</si>
  <si>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</si>
  <si>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</si>
  <si>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</si>
  <si>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</si>
  <si>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</si>
  <si>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</si>
  <si>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</si>
  <si>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</si>
  <si>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</si>
  <si>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</si>
  <si>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</si>
  <si>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</si>
  <si>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</si>
  <si>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</si>
  <si>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</si>
  <si>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</si>
  <si>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</si>
  <si>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</si>
  <si>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</si>
  <si>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</si>
  <si>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name</t>
  </si>
  <si>
    <t>varchar(50)</t>
  </si>
  <si>
    <t>API名</t>
  </si>
  <si>
    <t>display_name</t>
  </si>
  <si>
    <t>nvarchar(50)</t>
  </si>
  <si>
    <t>API表示名</t>
  </si>
  <si>
    <t>description</t>
  </si>
  <si>
    <t>nvarchar(100)</t>
  </si>
  <si>
    <t>API描述</t>
  </si>
  <si>
    <t>application_id</t>
  </si>
  <si>
    <t>应用ID</t>
  </si>
  <si>
    <t>sys_api_operation</t>
  </si>
  <si>
    <t>系统API操作表</t>
  </si>
  <si>
    <t>API操作名</t>
  </si>
  <si>
    <t>API操作表示名</t>
  </si>
  <si>
    <t>API操作描述</t>
  </si>
  <si>
    <t>api_id</t>
  </si>
  <si>
    <t>API ID</t>
  </si>
  <si>
    <t>sys_api_param</t>
  </si>
  <si>
    <t>系统API参数表</t>
  </si>
  <si>
    <t>API参数名</t>
  </si>
  <si>
    <t>API参数表示名</t>
  </si>
  <si>
    <t>API参数描述</t>
  </si>
  <si>
    <t>type_name</t>
  </si>
  <si>
    <t>varchar(100)</t>
  </si>
  <si>
    <t>API参数类型名</t>
  </si>
  <si>
    <t>required</t>
  </si>
  <si>
    <t>必须</t>
  </si>
  <si>
    <t>operation_id</t>
  </si>
  <si>
    <t>API操作ID</t>
  </si>
  <si>
    <t>sys_application</t>
  </si>
  <si>
    <t>系统应用表</t>
  </si>
  <si>
    <t>应用名</t>
  </si>
  <si>
    <t>应用表示名</t>
  </si>
  <si>
    <t>应用描述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</si>
  <si>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</si>
  <si>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</si>
  <si>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角色名</t>
  </si>
  <si>
    <t>角色表示名</t>
  </si>
  <si>
    <t>角色描述</t>
  </si>
  <si>
    <t>sys_role_operation</t>
  </si>
  <si>
    <t>系统角色操作表</t>
  </si>
  <si>
    <t>role_id</t>
  </si>
  <si>
    <t>角色ID</t>
  </si>
  <si>
    <t>sys_user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</si>
  <si>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</si>
  <si>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username</t>
  </si>
  <si>
    <t>用户名</t>
  </si>
  <si>
    <t>password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</si>
  <si>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</si>
  <si>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</si>
  <si>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</si>
  <si>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用户表示名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</si>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</sst>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9" fillId="5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4" borderId="9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0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1" fillId="0" borderId="15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5" fillId="13" borderId="13" applyNumberFormat="0" applyAlignment="0" applyProtection="0">
      <alignment vertical="center"/>
    </xf>
    <xf numFmtId="0" fontId="17" fillId="13" borderId="12" applyNumberFormat="0" applyAlignment="0" applyProtection="0">
      <alignment vertical="center"/>
    </xf>
    <xf numFmtId="0" fontId="20" fillId="16" borderId="14" applyNumberFormat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8" fillId="0" borderId="11" applyNumberFormat="0" applyFill="0" applyAlignment="0" applyProtection="0">
      <alignment vertical="center"/>
    </xf>
    <xf numFmtId="0" fontId="5" fillId="0" borderId="8" applyNumberFormat="0" applyFill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  <xf numFmtId="0" fontId="4" fillId="0" borderId="0" xfId="10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tabSelected="1" workbookViewId="0">
      <selection activeCell="A1" sqref="A1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s="2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s="24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s="24" t="s">
        <v>6</v>
      </c>
      <c r="C6" s="1" t="str">
        <f>GetTableName(A6+1)</f>
        <v>sys_api</v>
      </c>
      <c r="D6" s="1">
        <f t="shared" si="1"/>
        <v>6</v>
      </c>
      <c r="F6" s="1" t="str">
        <f ca="1">INDIRECT(C6&amp;"!B2")</f>
        <v>系统应用API表</v>
      </c>
    </row>
    <row r="7" spans="1:6">
      <c r="A7" s="1">
        <f t="shared" si="0"/>
        <v>4</v>
      </c>
      <c r="B7" s="24" t="s">
        <v>6</v>
      </c>
      <c r="C7" s="1" t="str">
        <f>GetTableName(A7+1)</f>
        <v>sys_api_operation</v>
      </c>
      <c r="D7" s="1">
        <f t="shared" si="1"/>
        <v>7</v>
      </c>
      <c r="F7" s="1" t="str">
        <f ca="1" t="shared" ref="F7:F14" si="2">INDIRECT(C7&amp;"!B2")</f>
        <v>系统API操作表</v>
      </c>
    </row>
    <row r="8" spans="1:6">
      <c r="A8" s="1">
        <f t="shared" si="0"/>
        <v>5</v>
      </c>
      <c r="B8" s="24" t="s">
        <v>6</v>
      </c>
      <c r="C8" s="1" t="str">
        <f>GetTableName(A8+1)</f>
        <v>sys_api_param</v>
      </c>
      <c r="D8" s="1">
        <f t="shared" si="1"/>
        <v>8</v>
      </c>
      <c r="F8" s="1" t="str">
        <f ca="1" t="shared" si="2"/>
        <v>系统API参数表</v>
      </c>
    </row>
    <row r="9" spans="1:6">
      <c r="A9" s="1">
        <f t="shared" si="0"/>
        <v>6</v>
      </c>
      <c r="B9" s="24" t="s">
        <v>6</v>
      </c>
      <c r="C9" s="1" t="str">
        <f>GetTableName(A9+1)</f>
        <v>sys_application</v>
      </c>
      <c r="D9" s="1">
        <f t="shared" si="1"/>
        <v>9</v>
      </c>
      <c r="F9" s="1" t="str">
        <f ca="1" t="shared" si="2"/>
        <v>系统应用表</v>
      </c>
    </row>
    <row r="10" spans="1:6">
      <c r="A10" s="1">
        <f t="shared" si="0"/>
        <v>7</v>
      </c>
      <c r="B10" s="24" t="s">
        <v>6</v>
      </c>
      <c r="C10" s="1" t="str">
        <f>GetTableName(A10+1)</f>
        <v>sys_role</v>
      </c>
      <c r="D10" s="1">
        <f t="shared" si="1"/>
        <v>10</v>
      </c>
      <c r="F10" s="1" t="str">
        <f ca="1" t="shared" si="2"/>
        <v>系统角色表</v>
      </c>
    </row>
    <row r="11" spans="1:6">
      <c r="A11" s="1">
        <f t="shared" si="0"/>
        <v>8</v>
      </c>
      <c r="B11" s="24" t="s">
        <v>6</v>
      </c>
      <c r="C11" s="1" t="str">
        <f>GetTableName(A11+1)</f>
        <v>sys_role_operation</v>
      </c>
      <c r="D11" s="1">
        <f t="shared" si="1"/>
        <v>11</v>
      </c>
      <c r="F11" s="1" t="str">
        <f ca="1" t="shared" si="2"/>
        <v>系统角色操作表</v>
      </c>
    </row>
    <row r="12" spans="1:6">
      <c r="A12" s="1">
        <f t="shared" si="0"/>
        <v>9</v>
      </c>
      <c r="B12" s="24" t="s">
        <v>6</v>
      </c>
      <c r="C12" s="1" t="str">
        <f>GetTableName(A12+1)</f>
        <v>sys_user</v>
      </c>
      <c r="D12" s="1">
        <f t="shared" si="1"/>
        <v>12</v>
      </c>
      <c r="F12" s="1" t="str">
        <f ca="1" t="shared" si="2"/>
        <v>系统用户表</v>
      </c>
    </row>
    <row r="13" spans="1:6">
      <c r="A13" s="1">
        <f t="shared" si="0"/>
        <v>10</v>
      </c>
      <c r="B13" s="24" t="s">
        <v>6</v>
      </c>
      <c r="C13" s="1" t="str">
        <f>GetTableName(A13+1)</f>
        <v>sys_user_role</v>
      </c>
      <c r="D13" s="1">
        <f t="shared" si="1"/>
        <v>13</v>
      </c>
      <c r="F13" s="1" t="str">
        <f ca="1" t="shared" si="2"/>
        <v>系统用户角色表</v>
      </c>
    </row>
    <row r="14" spans="2:4">
      <c r="B14"/>
      <c r="C14" s="1"/>
      <c r="D14" s="1" t="str">
        <f>IF(C14="","",D13+IF(INT(E13)=0,1,E13))</f>
        <v/>
      </c>
    </row>
    <row r="15" spans="2:4">
      <c r="B15"/>
      <c r="C15" s="1"/>
      <c r="D15" s="1" t="str">
        <f t="shared" si="1"/>
        <v/>
      </c>
    </row>
    <row r="16" spans="2:4">
      <c r="B16"/>
      <c r="C16" s="1"/>
      <c r="D16" s="1" t="str">
        <f t="shared" si="1"/>
        <v/>
      </c>
    </row>
    <row r="17" spans="2:4">
      <c r="B17"/>
      <c r="C17" s="1"/>
      <c r="D17" s="1" t="str">
        <f t="shared" si="1"/>
        <v/>
      </c>
    </row>
    <row r="18" spans="2:4">
      <c r="B18"/>
      <c r="C18" s="1"/>
      <c r="D18" s="1" t="str">
        <f t="shared" si="1"/>
        <v/>
      </c>
    </row>
    <row r="19" spans="2:4">
      <c r="B19"/>
      <c r="C19" s="1"/>
      <c r="D19" s="1" t="str">
        <f t="shared" si="1"/>
        <v/>
      </c>
    </row>
    <row r="20" spans="2:4">
      <c r="B20"/>
      <c r="C20" s="1"/>
      <c r="D20" s="1" t="str">
        <f t="shared" si="1"/>
        <v/>
      </c>
    </row>
  </sheetData>
  <hyperlinks>
    <hyperlink ref="B4" location="'~History~'!A1" display="&gt;&gt;"/>
    <hyperlink ref="B5" location="'~Rules~'!A1" display="&gt;&gt;"/>
    <hyperlink ref="B6" location="'sys_api'!A1" display="&gt;&gt;"/>
    <hyperlink ref="B7" location="'sys_api_operation'!A1" display="&gt;&gt;"/>
    <hyperlink ref="B8" location="'sys_api_param'!A1" display="&gt;&gt;"/>
    <hyperlink ref="B9" location="'sys_application'!A1" display="&gt;&gt;"/>
    <hyperlink ref="B10" location="'sys_role'!A1" display="&gt;&gt;"/>
    <hyperlink ref="B11" location="'sys_role_operation'!A1" display="&gt;&gt;"/>
    <hyperlink ref="B12" location="'sys_user'!A1" display="&gt;&gt;"/>
    <hyperlink ref="B13" location="'sys_user_role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78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80</v>
      </c>
      <c r="D16" s="4" t="s">
        <v>61</v>
      </c>
      <c r="E16" s="4"/>
      <c r="F16" s="13" t="s">
        <v>81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82</v>
      </c>
      <c r="C17" s="10" t="s">
        <v>58</v>
      </c>
      <c r="D17" s="4" t="s">
        <v>61</v>
      </c>
      <c r="E17" s="4"/>
      <c r="F17" s="13" t="s">
        <v>83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84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85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86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87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80</v>
      </c>
      <c r="D16" s="4" t="s">
        <v>61</v>
      </c>
      <c r="E16" s="4"/>
      <c r="F16" s="13" t="s">
        <v>88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89</v>
      </c>
      <c r="C17" s="4" t="s">
        <v>58</v>
      </c>
      <c r="D17" s="4" t="s">
        <v>61</v>
      </c>
      <c r="E17" s="4"/>
      <c r="F17" s="13" t="s">
        <v>90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93</v>
      </c>
      <c r="G14" s="12"/>
      <c r="H14" s="12"/>
      <c r="I14" s="15"/>
      <c r="J14" s="13"/>
      <c r="K14" s="12"/>
      <c r="L14" s="12"/>
      <c r="M14" s="15"/>
    </row>
    <row r="15" s="1" customFormat="1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94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80</v>
      </c>
      <c r="D16" s="4" t="s">
        <v>61</v>
      </c>
      <c r="E16" s="4"/>
      <c r="F16" s="13" t="s">
        <v>95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96</v>
      </c>
      <c r="C17" s="4" t="s">
        <v>97</v>
      </c>
      <c r="D17" s="4" t="s">
        <v>61</v>
      </c>
      <c r="E17" s="4"/>
      <c r="F17" s="13" t="s">
        <v>98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 t="s">
        <v>99</v>
      </c>
      <c r="C18" s="4" t="s">
        <v>71</v>
      </c>
      <c r="D18" s="4" t="s">
        <v>61</v>
      </c>
      <c r="E18" s="4"/>
      <c r="F18" s="13" t="s">
        <v>100</v>
      </c>
      <c r="G18" s="12"/>
      <c r="H18" s="12"/>
      <c r="I18" s="15"/>
      <c r="J18" s="13"/>
      <c r="K18" s="12"/>
      <c r="L18" s="12"/>
      <c r="M18" s="15"/>
    </row>
    <row r="19" spans="1:13">
      <c r="A19" s="8"/>
      <c r="B19" s="9" t="s">
        <v>101</v>
      </c>
      <c r="C19" s="4" t="s">
        <v>58</v>
      </c>
      <c r="D19" s="4" t="s">
        <v>61</v>
      </c>
      <c r="E19" s="4"/>
      <c r="F19" s="13" t="s">
        <v>102</v>
      </c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103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104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105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106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80</v>
      </c>
      <c r="D16" s="4" t="s">
        <v>61</v>
      </c>
      <c r="E16" s="4"/>
      <c r="F16" s="13" t="s">
        <v>107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109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110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111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80</v>
      </c>
      <c r="D16" s="4" t="s">
        <v>61</v>
      </c>
      <c r="E16" s="4"/>
      <c r="F16" s="13" t="s">
        <v>112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113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114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115</v>
      </c>
      <c r="C14" s="4" t="s">
        <v>58</v>
      </c>
      <c r="D14" s="4" t="s">
        <v>61</v>
      </c>
      <c r="E14" s="4"/>
      <c r="F14" s="13" t="s">
        <v>116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101</v>
      </c>
      <c r="C15" s="4" t="s">
        <v>58</v>
      </c>
      <c r="D15" s="4" t="s">
        <v>61</v>
      </c>
      <c r="E15" s="4"/>
      <c r="F15" s="13" t="s">
        <v>102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117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118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119</v>
      </c>
      <c r="C14" s="4" t="s">
        <v>74</v>
      </c>
      <c r="D14" s="4" t="s">
        <v>61</v>
      </c>
      <c r="E14" s="4"/>
      <c r="F14" s="13" t="s">
        <v>120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121</v>
      </c>
      <c r="C15" s="4" t="s">
        <v>74</v>
      </c>
      <c r="D15" s="4" t="s">
        <v>61</v>
      </c>
      <c r="E15" s="4"/>
      <c r="F15" s="13" t="s">
        <v>122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123</v>
      </c>
      <c r="C16" s="4" t="s">
        <v>74</v>
      </c>
      <c r="D16" s="4" t="s">
        <v>61</v>
      </c>
      <c r="E16" s="4"/>
      <c r="F16" s="11" t="s">
        <v>124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76</v>
      </c>
      <c r="C17" s="4" t="s">
        <v>77</v>
      </c>
      <c r="D17" s="4" t="s">
        <v>61</v>
      </c>
      <c r="E17" s="4"/>
      <c r="F17" s="13" t="s">
        <v>125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126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127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128</v>
      </c>
      <c r="C14" s="4" t="s">
        <v>58</v>
      </c>
      <c r="D14" s="4" t="s">
        <v>61</v>
      </c>
      <c r="E14" s="4"/>
      <c r="F14" s="13" t="s">
        <v>129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115</v>
      </c>
      <c r="C15" s="4" t="s">
        <v>58</v>
      </c>
      <c r="D15" s="4" t="s">
        <v>61</v>
      </c>
      <c r="E15" s="4"/>
      <c r="F15" s="13" t="s">
        <v>116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~Index~</vt:lpstr>
      <vt:lpstr>~History~</vt:lpstr>
      <vt:lpstr>~Rules~</vt:lpstr>
      <vt:lpstr>sys_api</vt:lpstr>
      <vt:lpstr>sys_api_operation</vt:lpstr>
      <vt:lpstr>sys_api_param</vt:lpstr>
      <vt:lpstr>sys_application</vt:lpstr>
      <vt:lpstr>sys_role</vt:lpstr>
      <vt:lpstr>sys_role_operation</vt:lpstr>
      <vt:lpstr>sys_user</vt:lpstr>
      <vt:lpstr>sys_user_role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Ma</cp:lastModifiedBy>
  <dcterms:created xsi:type="dcterms:W3CDTF">2017-11-27T07:09:00Z</dcterms:created>
  <dcterms:modified xsi:type="dcterms:W3CDTF">2019-01-13T05:56:17Z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